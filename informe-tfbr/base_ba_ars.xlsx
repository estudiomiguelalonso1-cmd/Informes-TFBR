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DOS" state="visible" r:id="rId4"/>
    <sheet sheetId="2" name="EESP" state="visible" r:id="rId5"/>
    <sheet sheetId="3" name="EERR" state="visible" r:id="rId6"/>
    <sheet sheetId="4" name="EEPN" state="visible" r:id="rId7"/>
    <sheet sheetId="5" name="Activo" state="visible" r:id="rId8"/>
    <sheet sheetId="6" name="Pasivo" state="visible" r:id="rId9"/>
    <sheet sheetId="7" name="Anexo I" state="visible" r:id="rId10"/>
    <sheet sheetId="8" name="Anexo II" state="visible" r:id="rId11"/>
    <sheet sheetId="9" name="Bienes" state="hidden" r:id="rId12"/>
  </sheets>
  <definedNames>
    <definedName name="_xlnm.Print_Area" localSheetId="0">'SALDOS'!$A114:$E220</definedName>
    <definedName name="_xlnm.Print_Area" localSheetId="4">'Activo'!$B3:$F54</definedName>
    <definedName name="_xlnm.Print_Area" localSheetId="5">'Pasivo'!$B4:$E34</definedName>
    <definedName name="_xlnm.Print_Area" localSheetId="8">'Bienes'!$A3:$F9</definedName>
  </definedNames>
  <calcPr calcId="171027"/>
</workbook>
</file>

<file path=xl/sharedStrings.xml><?xml version="1.0" encoding="utf-8"?>
<sst xmlns="http://schemas.openxmlformats.org/spreadsheetml/2006/main" count="647" uniqueCount="482">
  <si>
    <t>TRANSPORTES FURLONG BRASIL</t>
  </si>
  <si>
    <t>Acumulado</t>
  </si>
  <si>
    <t>Deudor</t>
  </si>
  <si>
    <t>Acreedor</t>
  </si>
  <si>
    <t>ACTIVO</t>
  </si>
  <si>
    <t>1110100330  FONDO FIJO BS. AS.</t>
  </si>
  <si>
    <t>1110100340  FONDO FIJO SENASA</t>
  </si>
  <si>
    <t>1110100420  BANCO FRANCES C/C</t>
  </si>
  <si>
    <t>1110101050  FONDO FIJO ADELANTOS PDT</t>
  </si>
  <si>
    <t>1120100100  FORD</t>
  </si>
  <si>
    <t>1120100400  TRANSPORTES FURLONG S.A. AR</t>
  </si>
  <si>
    <t>1120100700  RENAULT ARG. S.A.</t>
  </si>
  <si>
    <t>1120101300  VOLKSWAGEN ARGENTINA S.A.</t>
  </si>
  <si>
    <t>1120101600  FCA AUTOMOBILES ARGENTINA S.A.</t>
  </si>
  <si>
    <t>1120131000  CNH ARGENTINA S.A.</t>
  </si>
  <si>
    <t>1120138000  STELLANTIS AUTOMOVILES DE ARGENTINA S. A</t>
  </si>
  <si>
    <t>1140300100  ANTICIPO A PDT</t>
  </si>
  <si>
    <t>1140500500  ADELANTO DE SUELDOS</t>
  </si>
  <si>
    <t>1140600700  PRESTAMO CARLOS FURLONG</t>
  </si>
  <si>
    <t>1140601300  PRESTAMO CUBA</t>
  </si>
  <si>
    <t>1140500300 ANTICIPO DE VACACIONES</t>
  </si>
  <si>
    <t>1140600300  PRESTAMO A. VELASCO</t>
  </si>
  <si>
    <t>1140601100  PRESTAMO LORENA ALVES</t>
  </si>
  <si>
    <t>1140601400  PRESTAMO VERA</t>
  </si>
  <si>
    <t>1140900700  SEGUROS A DEV. ZURICH ASEG. S.A.</t>
  </si>
  <si>
    <t>1140900800  SEGUROS A DEV. ARG LA MERIDIONAL</t>
  </si>
  <si>
    <t>1140900900  SEGUROS A DEV. FEDERACION PATRONAL SA</t>
  </si>
  <si>
    <t>1160100000  FCI BBVA Inversiones</t>
  </si>
  <si>
    <t>1160200000  Plazo fijo</t>
  </si>
  <si>
    <t>1160300000  Intereses a devengar PF</t>
  </si>
  <si>
    <t>1210100100  SOFTWARE</t>
  </si>
  <si>
    <t>1210200300  MUEBLES Y UTILES</t>
  </si>
  <si>
    <t>1210300100  IMPRESORA EPSON LX300</t>
  </si>
  <si>
    <t>1210300200  IMPRESORA EPSON MULTIFUNCIÓN</t>
  </si>
  <si>
    <t>1210300300  COMPUTADORAS</t>
  </si>
  <si>
    <t>1210400100  EQUIPOS</t>
  </si>
  <si>
    <t>1210500100  AIRE ACONDICIONADO</t>
  </si>
  <si>
    <t>1210500200  CALEFÓN</t>
  </si>
  <si>
    <t>1210700100  RODADOS</t>
  </si>
  <si>
    <t>1220100000  AMORT. ACUM. SOFTWARE</t>
  </si>
  <si>
    <t>1220200000  AMORT. ACUM. M Y UTS</t>
  </si>
  <si>
    <t>1220300000  AMORT. ACUM. EQUIPOS</t>
  </si>
  <si>
    <t>1220400000  AMORT. ACUM. INSTALACIONES</t>
  </si>
  <si>
    <t>1220500000  AMORT. ACUM. HARDWARE</t>
  </si>
  <si>
    <t>1220600000  AMORT. ACUM. COMPUTADORAS</t>
  </si>
  <si>
    <t>1220700000  AMORT. ACUM. RODADOS</t>
  </si>
  <si>
    <t>PASIVO</t>
  </si>
  <si>
    <t>2110100300  COTELCAM</t>
  </si>
  <si>
    <t>2110102400 - OSDE</t>
  </si>
  <si>
    <t>2110100900  ESTUDIO CORTES</t>
  </si>
  <si>
    <t>2110101500  VENEZIA AUTOS SA</t>
  </si>
  <si>
    <t>2110101800  TRANSPORTES FURLONG ARG. S.A</t>
  </si>
  <si>
    <t>2110105400  MERCOVIA S.A.</t>
  </si>
  <si>
    <t>2110106800  OKINET SRL</t>
  </si>
  <si>
    <t>2110108900  LA MERIDIONAL S.A.</t>
  </si>
  <si>
    <t>2110115100  GIULI SERGIO ALBERTO</t>
  </si>
  <si>
    <t>2110116700 - CARLOS ALEJANDRO DUMA</t>
  </si>
  <si>
    <t>2110118000  MANGGINI PABLO Y ULISES S.H</t>
  </si>
  <si>
    <t>2110120600  QBE SEGUROS LA BUENOS AIRES S.A.</t>
  </si>
  <si>
    <t>2110125800  SERVI OESTE S.A</t>
  </si>
  <si>
    <t>2110126900  RODRIGO E. FONTAN</t>
  </si>
  <si>
    <t>2110127300  AB Fiduciaria S.A.</t>
  </si>
  <si>
    <t>2110130100  LUCIO JORGE ZEMBORAIN</t>
  </si>
  <si>
    <t>2110134300  HOCO S.A.</t>
  </si>
  <si>
    <t>2110141500  FIDEICOMISO RS CAMPANA</t>
  </si>
  <si>
    <t>2110160100  ZOPPI MARIANO</t>
  </si>
  <si>
    <t>2110160500  TANCO PADILLA ALFREDO</t>
  </si>
  <si>
    <t>2110161200 QUEREJETA LUIS</t>
  </si>
  <si>
    <t xml:space="preserve"> </t>
  </si>
  <si>
    <t>2110192100  FEDERACION PATRONAL SEGUROS S.A</t>
  </si>
  <si>
    <t>2110195000  RUBIN DE CELIS AGUSTIN</t>
  </si>
  <si>
    <t>2110197900  AMX ARGENTINA S.A.</t>
  </si>
  <si>
    <t>2110198300  DEFINOR S.A</t>
  </si>
  <si>
    <t>2110300100  SUELDOS A PAGAR</t>
  </si>
  <si>
    <t>2110300200  CARGAS SOCIALES A PAGAR</t>
  </si>
  <si>
    <t>2110300400  SICORE A PAGAR</t>
  </si>
  <si>
    <t>2110403000  PLAN MIS FACILIDADES R684502</t>
  </si>
  <si>
    <t>2110404000  INTERESES A DEVENGAR R684502</t>
  </si>
  <si>
    <t>2110407000  Plan mis Facilidades</t>
  </si>
  <si>
    <t>2110408000  Intereses a Devengar</t>
  </si>
  <si>
    <t>2110700100  ADELANTO CASA MATRIZ</t>
  </si>
  <si>
    <t>2110800400 SEGURA PADILLA DOLORES DEL VALLE</t>
  </si>
  <si>
    <t>2110801500  LETE MARIO NELSON</t>
  </si>
  <si>
    <t>2110700600  ACUERDOS CNRT A PAGAR</t>
  </si>
  <si>
    <t>2110803600  OPUS INSPECTION S.A.</t>
  </si>
  <si>
    <t>2110801800  ESTUDIO ADUANERO BERTORELLO &amp; Asoc SRL</t>
  </si>
  <si>
    <t>2110803900  VTV CABA SOCIEDAD ANONIMA</t>
  </si>
  <si>
    <t>2110804000  EMPRENDIMIENTOS SATELITALES S.A.</t>
  </si>
  <si>
    <t>2110804100  FERNANDO ATILIO BERTORELLO</t>
  </si>
  <si>
    <t>2110804600  LUDUEÑA FRANCO RODRIGO</t>
  </si>
  <si>
    <t>2113000000  FERNANDEZ MEDINA MARIA ELSA</t>
  </si>
  <si>
    <t>2110804400  MARCOS RAUL RODRIGUEZ</t>
  </si>
  <si>
    <t>2110131700  LIBRERIA MAYA SA</t>
  </si>
  <si>
    <t>2110132900  AURELIA S.A.C.I.F.</t>
  </si>
  <si>
    <t>2110805100  Concesionaria  Rodovias</t>
  </si>
  <si>
    <t>2112100000  ARTEAGA PEDRO</t>
  </si>
  <si>
    <t>2115900000  ROMERO SILVIA ADRIANA</t>
  </si>
  <si>
    <t>2110803300 - AUTOPISTAS DEL SOL S.A.</t>
  </si>
  <si>
    <t>2110804800   AUTOPISTAS DE BUENOS AIRES SA</t>
  </si>
  <si>
    <t>2110803700  AUTOPISTAS URBANAS S.A.</t>
  </si>
  <si>
    <t>2110804300  ZURICH ASEGURADORA ARGENTINA S.A</t>
  </si>
  <si>
    <t>2110804500  GASTON SAMACOITS</t>
  </si>
  <si>
    <t>2113200000  SERGIO MARCELO MARTIN</t>
  </si>
  <si>
    <t>2113400000  FRONTAR LIBRE</t>
  </si>
  <si>
    <t>2116100000  Marcos Gabriel Giordano</t>
  </si>
  <si>
    <t>2113700000  POLIPREN ARGENTINA SRL</t>
  </si>
  <si>
    <t>2110805400  HOTEL RENTAL SUITES CAMPANA</t>
  </si>
  <si>
    <t>2116300000  Sistemas Bejerman</t>
  </si>
  <si>
    <t>2116400000  Autovia del Mercosur</t>
  </si>
  <si>
    <t>PATRIMONIO NETO</t>
  </si>
  <si>
    <t>3310000000  RNA EJERCICIO ANTERIOR</t>
  </si>
  <si>
    <t>3320000000  RESULTADOS DEL EJERCICIOS</t>
  </si>
  <si>
    <t>RESULTADOS</t>
  </si>
  <si>
    <t>4110100000  SERVICIOS PRESTADOS</t>
  </si>
  <si>
    <t>4120500000  INTERESES GANADOS</t>
  </si>
  <si>
    <t>4231100000  RESULTADO POR TENENCIA FCI</t>
  </si>
  <si>
    <t>4120100000  RECUPERO DE GASTOS</t>
  </si>
  <si>
    <t>412   OTROS INGRESOS</t>
  </si>
  <si>
    <t>4120300000  VENTA RODADO</t>
  </si>
  <si>
    <t>4120200000  DIFERENCIA DE COTIZACION</t>
  </si>
  <si>
    <t>4210100000  GASTOS GENERALES</t>
  </si>
  <si>
    <t>4210200000  MOVILIDAD Y VIÁTICOS</t>
  </si>
  <si>
    <t>4210300000  SUELDOS</t>
  </si>
  <si>
    <t>4210400000  HONORARIOS PROFESIONALES</t>
  </si>
  <si>
    <t>4210500000  LIBRERÍA</t>
  </si>
  <si>
    <t>4210600000  CONTRIBUCIONES PATRONALES</t>
  </si>
  <si>
    <t>4211200000  GASTOS EN EQ. TELEFÓNICOS</t>
  </si>
  <si>
    <t>4224100000  INDEMNIZACION POR DESPIDO</t>
  </si>
  <si>
    <t>4210700000  MANTENIMIENTO DE MÁQUINAS</t>
  </si>
  <si>
    <t>4211100000  REDONDEO</t>
  </si>
  <si>
    <t>4211100000  SERVICIOS DE LIMPIEZA</t>
  </si>
  <si>
    <t>4211200000  GASTOS TELEFÓNICOS</t>
  </si>
  <si>
    <t>4211300000  GASTOS OBRA SOCIAL</t>
  </si>
  <si>
    <t>4211700000  GASTOS DE CAPACITACION</t>
  </si>
  <si>
    <t>4211800000  REPARACIONES</t>
  </si>
  <si>
    <t>4.2.1.09.00.0.0  GASTOS PC</t>
  </si>
  <si>
    <t>4211400000  Gastos en Tramites</t>
  </si>
  <si>
    <t>4211500000  Honorarios Directores</t>
  </si>
  <si>
    <t>4211600000  SERVICIO DE LIMPIEZA</t>
  </si>
  <si>
    <t>4211700000  GASTOS CAPACITACIÓN</t>
  </si>
  <si>
    <t>4211900000  CATERING</t>
  </si>
  <si>
    <t>4212100000  FLETES</t>
  </si>
  <si>
    <t>4212200000  LEGALIZACIONES</t>
  </si>
  <si>
    <t>421230000  GASTOS VARIOS PERSONAL</t>
  </si>
  <si>
    <t>4212400000  AUTÓNOMOS DIRECTORES</t>
  </si>
  <si>
    <t>4212500000  AMORTIZACIONES</t>
  </si>
  <si>
    <t>4212600000  AGUA</t>
  </si>
  <si>
    <t>4212700000  ALQUILER FOTOCOPIADORA</t>
  </si>
  <si>
    <t>4212800000  TASA AFIP</t>
  </si>
  <si>
    <t>4212900000  TASA IGJ</t>
  </si>
  <si>
    <t>4212000000  MANTENIMIENTO</t>
  </si>
  <si>
    <t>4213000000  ALQUILER OFICINA MÓVIL</t>
  </si>
  <si>
    <t>4213100000  GRATIFICACIONES</t>
  </si>
  <si>
    <t>4213300000  SALARIO COMPLEMENTARIO DEL DECRETO 332/20</t>
  </si>
  <si>
    <t>4213200000  ACUERDO SECLO</t>
  </si>
  <si>
    <t>4214000000  GASTOS MÉDICOS</t>
  </si>
  <si>
    <t>4215000000  HONORARIOS LEGALES</t>
  </si>
  <si>
    <t>4216000000  HABILITACIONES</t>
  </si>
  <si>
    <t>4218000000  GASTOS HOTELERÍA</t>
  </si>
  <si>
    <t>4219000000  GASTOS GESTORÍA</t>
  </si>
  <si>
    <t>4220100000  SEGUROS</t>
  </si>
  <si>
    <t>4220200000  COMUNICACIONES</t>
  </si>
  <si>
    <t>4220300000  LOCOMOCION</t>
  </si>
  <si>
    <t>4220400000  CUSTODIA</t>
  </si>
  <si>
    <t>4220500000  DESPACHANTE</t>
  </si>
  <si>
    <t>4220600000  MANTENIMIENTO DE FLOTA</t>
  </si>
  <si>
    <t>4221600000  REPARACIONES FLOTA</t>
  </si>
  <si>
    <t>4220700000  COMBUSTIBLE</t>
  </si>
  <si>
    <t>4220800000  LAVADO DE FLOTA</t>
  </si>
  <si>
    <t>4220900000  MENSAJERIA</t>
  </si>
  <si>
    <t>4221000000  PEAJES</t>
  </si>
  <si>
    <t>4221100000  ESTACIONAMIENTO</t>
  </si>
  <si>
    <t>4221200000  CNRT</t>
  </si>
  <si>
    <t>4221300000  GASTOS VARIOS</t>
  </si>
  <si>
    <t>4221400000  SEGURIDAD Y VIGILANCIA</t>
  </si>
  <si>
    <t>4221500000  REFRIGERIOS</t>
  </si>
  <si>
    <t>4221700100  FLETES</t>
  </si>
  <si>
    <t>4221700200 GTOS PLAYA ESTADIAS</t>
  </si>
  <si>
    <t>4221800000  MULTAS</t>
  </si>
  <si>
    <t>4221900000  GASTOS DE REPRESENTACIÓN</t>
  </si>
  <si>
    <t>4222000000  GASTOS DE LOGÍSTICA</t>
  </si>
  <si>
    <t>4222100000  ALQUILER DE AUTOS</t>
  </si>
  <si>
    <t>4222200000  ACCIDENTES</t>
  </si>
  <si>
    <t xml:space="preserve">4222300000  SINIESTROS </t>
  </si>
  <si>
    <t>4222400000  DONACIONES</t>
  </si>
  <si>
    <t>4222900000  ROPA DE TRABAJO</t>
  </si>
  <si>
    <t>4222500000  ESTIBAJES</t>
  </si>
  <si>
    <t>4222600000  ALQUILER DPTO</t>
  </si>
  <si>
    <t>4222700000  COMISIONES</t>
  </si>
  <si>
    <t>4222800000  ALQUILER COCHERA</t>
  </si>
  <si>
    <t>4223000000  BS. PERSONALES ACCIO. Y PARTICIPACIONES</t>
  </si>
  <si>
    <t>4223100000  PATENTES</t>
  </si>
  <si>
    <t>4223200000  TASAS SENASA</t>
  </si>
  <si>
    <t>4224200000  GASTOS DE PUBLICIDAD</t>
  </si>
  <si>
    <t>4228000000  SERVICIO DE TRANSPORTE Y ALMACENAMIENTO</t>
  </si>
  <si>
    <t xml:space="preserve">4223300000  JUICIOS </t>
  </si>
  <si>
    <t>4223400000  GASTOS VARIOS CLIENTES</t>
  </si>
  <si>
    <t>4223500000  VERIFICACIÓN TÉCNICA VEHICULAR</t>
  </si>
  <si>
    <t>4223600000  DEUDORES INCOBRABLES</t>
  </si>
  <si>
    <t>4223700000  VERIFICACIÓN POLICIAL/TÈCNICA VEHICULAR</t>
  </si>
  <si>
    <t>4223800000  AJUSTE SALDO CLIENTE</t>
  </si>
  <si>
    <t>4223900000  GASTOS ROPA DE TRABAJO</t>
  </si>
  <si>
    <t>4225000000  CESIÓN DE DERECHOS</t>
  </si>
  <si>
    <t>4226000000  ADELANTO VIAJE</t>
  </si>
  <si>
    <t>4230100000  GASTOS Y COMISIONES BANCARIOS</t>
  </si>
  <si>
    <t>4230200000  IMP. A LOS DÉBITOS Y CRÉDITOS LEY 25,413</t>
  </si>
  <si>
    <t>4230200000  IMP. A LOS DEBITOS</t>
  </si>
  <si>
    <t>4230300000  IMP. A LOS CREDITOS</t>
  </si>
  <si>
    <t>4230400000  INTERESES RESARCITORIOS</t>
  </si>
  <si>
    <t>4230500000  LEASING</t>
  </si>
  <si>
    <t>4230700000  EMBARGO RADICACION VEHICULAR</t>
  </si>
  <si>
    <t>4230800000  IMPUESTOS VARIOS</t>
  </si>
  <si>
    <t>4230900000  IMP. AL CHEQUE</t>
  </si>
  <si>
    <t>4230600000  SINIESTROS CONVENIO HSBC</t>
  </si>
  <si>
    <t>4240100000  COMBUSTIBLE</t>
  </si>
  <si>
    <t>4212800000  TASAS AFIP</t>
  </si>
  <si>
    <t>4231200000  INTERESES FINANCIEROS</t>
  </si>
  <si>
    <t>Diferencia</t>
  </si>
  <si>
    <t>TRANSPORTES FURLONG S.A</t>
  </si>
  <si>
    <t>Al 31 de Julio del 2026</t>
  </si>
  <si>
    <t>Estado de Situación Patrimonial en Pesos</t>
  </si>
  <si>
    <t>ACTIVO:</t>
  </si>
  <si>
    <t>ACTIVO CORRIENTE</t>
  </si>
  <si>
    <t>PASIVO CORRIENTE</t>
  </si>
  <si>
    <t>Caja y bancos (Nota 4.a)</t>
  </si>
  <si>
    <t>Deudas</t>
  </si>
  <si>
    <t>Inversiones temporarias  (Nota 4.b)</t>
  </si>
  <si>
    <t>Comerciales (Nota 4.e)</t>
  </si>
  <si>
    <t>Créditos por ventas (Nota 4.c)</t>
  </si>
  <si>
    <t>Remuneraciones y cs.sociales (Nota 4.f)</t>
  </si>
  <si>
    <t xml:space="preserve">Otros Créditos (Nota 4.d) </t>
  </si>
  <si>
    <t>Cargas fiscales (Nota 4.g)</t>
  </si>
  <si>
    <t>Otras Deudas (Nota 4.h)</t>
  </si>
  <si>
    <t>Total del Activo corriente</t>
  </si>
  <si>
    <t>Total del Pasivo Corriente</t>
  </si>
  <si>
    <t>Total del Pasivo</t>
  </si>
  <si>
    <t>ACTIVO NO CORRIENTE</t>
  </si>
  <si>
    <t>Bienes de uso (Anexo I)</t>
  </si>
  <si>
    <t>PATRIMONIO NETO (Según estado respec.)</t>
  </si>
  <si>
    <t>Total del Activo no corriente</t>
  </si>
  <si>
    <t>Total del Activo</t>
  </si>
  <si>
    <t>Total del Pasivo y Patrimonio Neto</t>
  </si>
  <si>
    <t>Las notas y anexos adjuntos forman parte integrante de los estados contables.</t>
  </si>
  <si>
    <t>Informe profesional por separado.</t>
  </si>
  <si>
    <t>Miguel Ángel Alonso</t>
  </si>
  <si>
    <t>Tomas Furlong</t>
  </si>
  <si>
    <t>Contador Público (UCA)</t>
  </si>
  <si>
    <t>Transportes Furlong S.A.</t>
  </si>
  <si>
    <t>C.P.C.E.C.A.B.A. Tº176 Fº3</t>
  </si>
  <si>
    <t>Apoderado</t>
  </si>
  <si>
    <t>Estado de Resultados</t>
  </si>
  <si>
    <t>Ingresos por servicios prestados</t>
  </si>
  <si>
    <t>Gastos de comercialización (Anexo II)</t>
  </si>
  <si>
    <t>Gastos de administración (Anexo II)</t>
  </si>
  <si>
    <t>Gastos de financieros (Anexo II)</t>
  </si>
  <si>
    <t>Subtotal</t>
  </si>
  <si>
    <t>Resultado venta bienes de uso</t>
  </si>
  <si>
    <t>Recupero de gastos</t>
  </si>
  <si>
    <t>Diferencia de cotización</t>
  </si>
  <si>
    <t>Intereses</t>
  </si>
  <si>
    <t>Otros ingresos</t>
  </si>
  <si>
    <t>Ganancia antes de impuesto</t>
  </si>
  <si>
    <t>Impuesto a las Ganancias</t>
  </si>
  <si>
    <t>Ganancia (Pérdida) del ejercicio</t>
  </si>
  <si>
    <t>Estado de Evolución del Patrimonio Neto</t>
  </si>
  <si>
    <t xml:space="preserve">   </t>
  </si>
  <si>
    <t>CONCEPTO</t>
  </si>
  <si>
    <t xml:space="preserve">                                             Aportes de los propietarios</t>
  </si>
  <si>
    <t>Ganancias</t>
  </si>
  <si>
    <t>Reservadas</t>
  </si>
  <si>
    <t>Resultados</t>
  </si>
  <si>
    <t>Total del</t>
  </si>
  <si>
    <t>Capital</t>
  </si>
  <si>
    <t xml:space="preserve">Ajuste </t>
  </si>
  <si>
    <t>Total de</t>
  </si>
  <si>
    <t>Reserva</t>
  </si>
  <si>
    <t xml:space="preserve">Otras </t>
  </si>
  <si>
    <t>Aportes</t>
  </si>
  <si>
    <t>no</t>
  </si>
  <si>
    <t>patrimonio</t>
  </si>
  <si>
    <t>de Capital</t>
  </si>
  <si>
    <t>legal</t>
  </si>
  <si>
    <t>reservas</t>
  </si>
  <si>
    <t>Irrevocables</t>
  </si>
  <si>
    <t>asignados</t>
  </si>
  <si>
    <t>neto</t>
  </si>
  <si>
    <t>$</t>
  </si>
  <si>
    <t xml:space="preserve">                                                                                                                                                                                        </t>
  </si>
  <si>
    <t>Saldos al inicio del ejercicio</t>
  </si>
  <si>
    <t>Reasignación casa matriz</t>
  </si>
  <si>
    <t>Total al 31.7.2026</t>
  </si>
  <si>
    <t>Total al 31.12.05</t>
  </si>
  <si>
    <t>NOTA 4:</t>
  </si>
  <si>
    <t>COMPOSICION DE LOS RUBROS</t>
  </si>
  <si>
    <t>Al 31  de Julio de 2026 - cifras expresadas en Pesos</t>
  </si>
  <si>
    <t>Activo Corriente</t>
  </si>
  <si>
    <t>a.</t>
  </si>
  <si>
    <t>Caja y bancos</t>
  </si>
  <si>
    <t>- Caja</t>
  </si>
  <si>
    <t>- Fondo Fijo</t>
  </si>
  <si>
    <t>- Fondo Fijo SENASA</t>
  </si>
  <si>
    <t>- Fondo Fijo Adelantos PDT</t>
  </si>
  <si>
    <t>- Banco Francés c/c</t>
  </si>
  <si>
    <t>- Valores a Depositar</t>
  </si>
  <si>
    <t>- Efectivo Casa Matriz</t>
  </si>
  <si>
    <t>- Cheques no depositados</t>
  </si>
  <si>
    <t>b.</t>
  </si>
  <si>
    <t>Inversiones temporarias</t>
  </si>
  <si>
    <t>- Plazo Fijo</t>
  </si>
  <si>
    <t>- Fondo Comun de Inversión BBVA</t>
  </si>
  <si>
    <t>c.</t>
  </si>
  <si>
    <t>Creditos por Ventas</t>
  </si>
  <si>
    <t>- Deudores por ventas</t>
  </si>
  <si>
    <t>- Anticipo a proveedores</t>
  </si>
  <si>
    <t>d.</t>
  </si>
  <si>
    <t>Otros créditos</t>
  </si>
  <si>
    <t>- Transportes Furlong Cba.</t>
  </si>
  <si>
    <t>- Adelantos Tomás Furlong</t>
  </si>
  <si>
    <t>- Adelanto de sueldos</t>
  </si>
  <si>
    <t>- Adelantos PDT</t>
  </si>
  <si>
    <t>- Adelanto de gastos</t>
  </si>
  <si>
    <t>- Anticipo Combustible Velasco</t>
  </si>
  <si>
    <t>- Adelanto SAC</t>
  </si>
  <si>
    <t>- Adelanto al personal</t>
  </si>
  <si>
    <t>- Gastos a recuperar</t>
  </si>
  <si>
    <t>- Prov. Fc a recibir transportistas</t>
  </si>
  <si>
    <t>- Retenciones IIBB</t>
  </si>
  <si>
    <t>- Retenciones ganancias</t>
  </si>
  <si>
    <t>- Retenciones suss</t>
  </si>
  <si>
    <t>- Prestamos al personal</t>
  </si>
  <si>
    <t>- Crédito Imp. Ley 25413</t>
  </si>
  <si>
    <t>- Fondo fijo a rendir</t>
  </si>
  <si>
    <t>- Intereses a Devengar Plazo Fijo</t>
  </si>
  <si>
    <t>- Seguros a Devengar</t>
  </si>
  <si>
    <t>31.03.04</t>
  </si>
  <si>
    <t>31.03.03</t>
  </si>
  <si>
    <t>Pasivo</t>
  </si>
  <si>
    <t>Pasivo Corriente</t>
  </si>
  <si>
    <t>e.</t>
  </si>
  <si>
    <t>Deudas comerciales</t>
  </si>
  <si>
    <t>- Anticipos de clientes</t>
  </si>
  <si>
    <t>- Proveedores</t>
  </si>
  <si>
    <t>- Adelanto casa matriz</t>
  </si>
  <si>
    <t>- Previsiones</t>
  </si>
  <si>
    <t>- Cheques Emitidos</t>
  </si>
  <si>
    <t>f.</t>
  </si>
  <si>
    <t>Remuneraciones y cs. Sociales</t>
  </si>
  <si>
    <t>- Suss a pagar</t>
  </si>
  <si>
    <t>- Sueldos a pagar</t>
  </si>
  <si>
    <t>- Indemnización a pagar</t>
  </si>
  <si>
    <t>g.</t>
  </si>
  <si>
    <t>Cargas fiscales</t>
  </si>
  <si>
    <t>- Plan mis Facilidades Bs Personales</t>
  </si>
  <si>
    <t xml:space="preserve">- Intereses a devengar </t>
  </si>
  <si>
    <t>- Sicore a pagar</t>
  </si>
  <si>
    <t>- Bs. Pers. Acc. Y Participaciones a Pagar</t>
  </si>
  <si>
    <t>h.</t>
  </si>
  <si>
    <t>Otras Deudas</t>
  </si>
  <si>
    <t>- Acuerdos CNRT a pagar</t>
  </si>
  <si>
    <t>- Convenio HSBC</t>
  </si>
  <si>
    <t>- Prov. Multas  a pagar</t>
  </si>
  <si>
    <t>- Provisión Siniestro Ford</t>
  </si>
  <si>
    <t>- Préstamo Carlos Furlong</t>
  </si>
  <si>
    <t>- Préstamo Lorena Alves</t>
  </si>
  <si>
    <t>B I E N E S    D E    U S O</t>
  </si>
  <si>
    <t>VALOR DE ORIGEN</t>
  </si>
  <si>
    <t>DEPRECIACIONES</t>
  </si>
  <si>
    <t xml:space="preserve">VALORES AL </t>
  </si>
  <si>
    <t xml:space="preserve">ACUMULADAS </t>
  </si>
  <si>
    <t>DEL EJERCICIO</t>
  </si>
  <si>
    <t>ACUMULADAS</t>
  </si>
  <si>
    <t>NETO</t>
  </si>
  <si>
    <t xml:space="preserve">COMIENZO DEL </t>
  </si>
  <si>
    <t>AUMENTOS</t>
  </si>
  <si>
    <t>DISMINUCIONES</t>
  </si>
  <si>
    <t xml:space="preserve">CIERRE DEL </t>
  </si>
  <si>
    <t>AL INICIO DEL</t>
  </si>
  <si>
    <t>BAJAS</t>
  </si>
  <si>
    <t>ALIC</t>
  </si>
  <si>
    <t>MONTO</t>
  </si>
  <si>
    <t xml:space="preserve">AL CIERRE DEL </t>
  </si>
  <si>
    <t>RESULTANTE</t>
  </si>
  <si>
    <t>EJERCICIO</t>
  </si>
  <si>
    <t>Software</t>
  </si>
  <si>
    <t>Hardware</t>
  </si>
  <si>
    <t>Computadoras</t>
  </si>
  <si>
    <t>Equipos</t>
  </si>
  <si>
    <t>Muebles y Utiles</t>
  </si>
  <si>
    <t>Instalaciones</t>
  </si>
  <si>
    <t>10%</t>
  </si>
  <si>
    <t>Rodados</t>
  </si>
  <si>
    <t>ANEXO II</t>
  </si>
  <si>
    <t>Información Requerida por el Art. 64 Inc. b) de la Ley 19.550</t>
  </si>
  <si>
    <t>Anexo II</t>
  </si>
  <si>
    <t>TOTALES</t>
  </si>
  <si>
    <t xml:space="preserve">GASTOS </t>
  </si>
  <si>
    <t>GASTOS</t>
  </si>
  <si>
    <t xml:space="preserve">                           CONCEPTOS</t>
  </si>
  <si>
    <t>AL</t>
  </si>
  <si>
    <t xml:space="preserve">DE </t>
  </si>
  <si>
    <t>ADMINISTRACION</t>
  </si>
  <si>
    <t>COMERCIALIZACION</t>
  </si>
  <si>
    <t>FINANCIEROS</t>
  </si>
  <si>
    <t>31.03.02</t>
  </si>
  <si>
    <t>Amortizaciones</t>
  </si>
  <si>
    <t>Accidentes</t>
  </si>
  <si>
    <t>Acuerdo Seclo</t>
  </si>
  <si>
    <t>Adelanto Viaje</t>
  </si>
  <si>
    <t>Alquiler de cochera</t>
  </si>
  <si>
    <t>Mantenimiento</t>
  </si>
  <si>
    <t>Adicional obra social</t>
  </si>
  <si>
    <t>Autonomos directores</t>
  </si>
  <si>
    <t>Librería</t>
  </si>
  <si>
    <t>Publicidad</t>
  </si>
  <si>
    <t>Gastos varios</t>
  </si>
  <si>
    <t>Catering</t>
  </si>
  <si>
    <t>Cesión de Derechos</t>
  </si>
  <si>
    <t>Combustible</t>
  </si>
  <si>
    <t>Comunicaciones</t>
  </si>
  <si>
    <t>Custodia</t>
  </si>
  <si>
    <t>Capacitación</t>
  </si>
  <si>
    <t>Deudores incobrables</t>
  </si>
  <si>
    <t>Despachantes</t>
  </si>
  <si>
    <t>Donaciones</t>
  </si>
  <si>
    <t>Gastos Computación</t>
  </si>
  <si>
    <t>Estibajes</t>
  </si>
  <si>
    <t>Estacionamiento</t>
  </si>
  <si>
    <t>Embargo radicación vehicular</t>
  </si>
  <si>
    <t>Fletes</t>
  </si>
  <si>
    <t>Gastos de logística</t>
  </si>
  <si>
    <t>Gastos de representación</t>
  </si>
  <si>
    <t>indemnizaciones</t>
  </si>
  <si>
    <t>Gastos varios clientes</t>
  </si>
  <si>
    <t>Gastos varios personal</t>
  </si>
  <si>
    <t>Gastos y comisiones bancarias</t>
  </si>
  <si>
    <t>Gastos obra social</t>
  </si>
  <si>
    <t>Gastos Hotelería</t>
  </si>
  <si>
    <t>Gastos Gestoría</t>
  </si>
  <si>
    <t>Gastos Telefonico</t>
  </si>
  <si>
    <t>Habilitaciones</t>
  </si>
  <si>
    <t>Sueldos</t>
  </si>
  <si>
    <t>Salario Complementario del Decreto 332/20</t>
  </si>
  <si>
    <t>Honorarios directores</t>
  </si>
  <si>
    <t>Honorarios legales</t>
  </si>
  <si>
    <t>Indumentaria</t>
  </si>
  <si>
    <t>Impuestos varios</t>
  </si>
  <si>
    <t>Imp. Bienes Acc. Y Part. Soc.</t>
  </si>
  <si>
    <t>Imp. A los créditos</t>
  </si>
  <si>
    <t>Imp. A los débitos y créditos</t>
  </si>
  <si>
    <t>imp. Al cheque</t>
  </si>
  <si>
    <t>Intereses resarcitorios</t>
  </si>
  <si>
    <t>Serv de Transporte y Almacenamiento</t>
  </si>
  <si>
    <t>Honorarios profesionales</t>
  </si>
  <si>
    <t>Leasing</t>
  </si>
  <si>
    <t>Legalizaciones</t>
  </si>
  <si>
    <t>Locomoción</t>
  </si>
  <si>
    <t>Cargas Sociales</t>
  </si>
  <si>
    <t>Mantenimiento y lav. de flota</t>
  </si>
  <si>
    <t>Mensajería y trámites</t>
  </si>
  <si>
    <t xml:space="preserve">Gastos Generales </t>
  </si>
  <si>
    <t xml:space="preserve">Multas </t>
  </si>
  <si>
    <t>Patentes</t>
  </si>
  <si>
    <t>Peajes</t>
  </si>
  <si>
    <t>Redondeo</t>
  </si>
  <si>
    <t>Reparaciones</t>
  </si>
  <si>
    <t>Reparaciones de flota</t>
  </si>
  <si>
    <t>Refrigerios</t>
  </si>
  <si>
    <t>Ropa de trabajo</t>
  </si>
  <si>
    <t>Seguros</t>
  </si>
  <si>
    <t>Seguridad y vigilancia</t>
  </si>
  <si>
    <t>Servicios de limpieza</t>
  </si>
  <si>
    <t>Siniestros</t>
  </si>
  <si>
    <t>Molilidad y viáticos</t>
  </si>
  <si>
    <t>Tasas Senasa</t>
  </si>
  <si>
    <t>Tasas IGJ, AFIP</t>
  </si>
  <si>
    <t>Gastos Médicos</t>
  </si>
  <si>
    <t>R.E.C.P.A.M.</t>
  </si>
  <si>
    <t>Calculo De Bienes Societarios de Transporte Furlong Barsil  2009</t>
  </si>
  <si>
    <t>,</t>
  </si>
  <si>
    <t>Activo</t>
  </si>
  <si>
    <t>Patrimonio Neto</t>
  </si>
  <si>
    <t>Impuesto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</si>
</sst>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_ * #,##0.00_ ;_ * -#,##0.00_ ;_ * &quot;-&quot;??_ ;_ @_ "/>
    <numFmt numFmtId="165" formatCode="#,##0.00_);(#,##0.00)"/>
    <numFmt numFmtId="166" formatCode="_ &quot;$&quot; * #,##0.00_ ;_ &quot;$&quot; * -#,##0.00_ ;_ &quot;$&quot; * &quot;-&quot;??_ ;_ @_ "/>
    <numFmt numFmtId="167" formatCode="_-* #,##0.00_-;-* #,##0.00_-;_-* &quot;-&quot;??_-;_-@_-"/>
    <numFmt numFmtId="168" formatCode="0.00000"/>
    <numFmt numFmtId="169" formatCode="_-* #,##0.00 _$_-;-* #,##0.00 _$_-;_-* &quot;-&quot;?? _$_-;_-@_-"/>
    <numFmt numFmtId="170" formatCode="dd/mm/yy;@"/>
    <numFmt numFmtId="171" formatCode="_(* #,##0_);_(* (#,##0);_(* &quot;-&quot;??_);_(@_)"/>
  </numFmts>
  <fonts count="26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Calibri"/>
    </font>
    <font>
      <sz val="10"/>
      <name val="Century Gothic"/>
    </font>
    <font>
      <b/>
      <family val="2"/>
      <sz val="10"/>
      <name val="Arial"/>
    </font>
    <font>
      <family val="2"/>
      <sz val="9"/>
      <name val="Arial"/>
    </font>
    <font>
      <family val="1"/>
      <sz val="9"/>
      <name val="Bookman Old Style"/>
    </font>
    <font>
      <b/>
      <family val="1"/>
      <sz val="9"/>
      <name val="Bookman Old Style"/>
    </font>
    <font>
      <b/>
      <color indexed="8"/>
      <family val="2"/>
      <sz val="8"/>
      <name val="Arial"/>
    </font>
    <font>
      <family val="1"/>
      <sz val="10"/>
      <name val="Bookman Old Style"/>
    </font>
    <font>
      <color rgb="FFFF0000"/>
      <family val="2"/>
      <sz val="9"/>
      <name val="Arial"/>
    </font>
    <font>
      <color rgb="FFFF0000"/>
      <family val="2"/>
      <sz val="10"/>
      <name val="Century Gothic"/>
    </font>
    <font>
      <color indexed="8"/>
      <family val="2"/>
      <sz val="8"/>
      <name val="Arial"/>
    </font>
    <font>
      <b/>
      <family val="2"/>
      <sz val="12"/>
      <name val="Arial"/>
    </font>
    <font>
      <b/>
      <family val="1"/>
      <sz val="10"/>
      <name val="Bookman Old Style"/>
    </font>
    <font>
      <color rgb="FF000000"/>
      <family val="2"/>
      <sz val="8"/>
      <name val="Arial"/>
    </font>
    <font>
      <b/>
      <family val="1"/>
      <sz val="12"/>
      <name val="Times New Roman"/>
    </font>
    <font>
      <family val="1"/>
      <sz val="12"/>
      <name val="Times New Roman"/>
    </font>
    <font>
      <family val="1"/>
      <sz val="8"/>
      <name val="Times New Roman"/>
    </font>
    <font>
      <family val="1"/>
      <sz val="10"/>
      <name val="Times New Roman"/>
    </font>
    <font>
      <b/>
      <family val="1"/>
      <sz val="10"/>
      <name val="Times New Roman"/>
    </font>
    <font>
      <u/>
      <family val="1"/>
      <sz val="10"/>
      <name val="Times New Roman"/>
    </font>
    <font>
      <family val="1"/>
      <sz val="8"/>
      <name val="Bookman Old Style"/>
    </font>
    <font>
      <family val="2"/>
      <sz val="8"/>
      <name val="Century Gothic"/>
    </font>
    <font>
      <family val="2"/>
      <sz val="10"/>
      <name val="Century Gothic"/>
    </font>
    <font>
      <b/>
      <family val="1"/>
      <sz val="8"/>
      <name val="Bookman Old Style"/>
    </font>
    <font>
      <color theme="1"/>
      <family val="1"/>
      <sz val="8"/>
      <name val="Bookman Old Style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80">
    <xf numFmtId="0" fontId="0" fillId="0" borderId="0" xfId="0"/>
    <xf numFmtId="164" fontId="1" fillId="0" borderId="0" xfId="0" applyNumberFormat="1" applyFont="1"/>
    <xf numFmtId="4" fontId="1" fillId="0" borderId="0" xfId="0" applyNumberFormat="1" applyFont="1"/>
    <xf numFmtId="165" fontId="1" fillId="0" borderId="0" xfId="0" applyNumberFormat="1" applyFont="1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0" xfId="0" applyFont="1"/>
    <xf numFmtId="0" fontId="5" fillId="0" borderId="5" xfId="0" applyFont="1" applyBorder="1"/>
    <xf numFmtId="14" fontId="5" fillId="0" borderId="6" xfId="0" applyNumberFormat="1" applyFont="1" applyBorder="1" applyAlignment="1">
      <alignment horizontal="center"/>
    </xf>
    <xf numFmtId="14" fontId="5" fillId="0" borderId="7" xfId="0" applyNumberFormat="1" applyFont="1" applyBorder="1" applyAlignment="1">
      <alignment horizontal="center"/>
    </xf>
    <xf numFmtId="14" fontId="5" fillId="0" borderId="0" xfId="0" applyNumberFormat="1" applyFont="1"/>
    <xf numFmtId="0" fontId="6" fillId="0" borderId="0" xfId="0" applyFont="1"/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/>
    <xf numFmtId="0" fontId="5" fillId="0" borderId="6" xfId="0" applyFont="1" applyBorder="1"/>
    <xf numFmtId="0" fontId="5" fillId="0" borderId="7" xfId="0" applyFont="1" applyBorder="1"/>
    <xf numFmtId="4" fontId="5" fillId="0" borderId="6" xfId="0" applyNumberFormat="1" applyFont="1" applyBorder="1"/>
    <xf numFmtId="4" fontId="5" fillId="0" borderId="7" xfId="0" applyNumberFormat="1" applyFont="1" applyBorder="1"/>
    <xf numFmtId="4" fontId="5" fillId="0" borderId="0" xfId="0" applyNumberFormat="1" applyFont="1"/>
    <xf numFmtId="4" fontId="5" fillId="0" borderId="11" xfId="0" applyNumberFormat="1" applyFont="1" applyBorder="1"/>
    <xf numFmtId="4" fontId="5" fillId="0" borderId="12" xfId="0" applyNumberFormat="1" applyFont="1" applyBorder="1"/>
    <xf numFmtId="4" fontId="7" fillId="0" borderId="0" xfId="0" applyNumberFormat="1" applyFont="1" applyAlignment="1">
      <alignment horizontal="right" vertical="top"/>
    </xf>
    <xf numFmtId="4" fontId="5" fillId="0" borderId="13" xfId="0" applyNumberFormat="1" applyFont="1" applyBorder="1"/>
    <xf numFmtId="4" fontId="5" fillId="0" borderId="9" xfId="0" applyNumberFormat="1" applyFont="1" applyBorder="1"/>
    <xf numFmtId="165" fontId="7" fillId="0" borderId="0" xfId="0" applyNumberFormat="1" applyFont="1" applyAlignment="1">
      <alignment horizontal="right" vertical="top"/>
    </xf>
    <xf numFmtId="166" fontId="5" fillId="0" borderId="0" xfId="0" applyNumberFormat="1" applyFont="1"/>
    <xf numFmtId="4" fontId="2" fillId="0" borderId="0" xfId="0" applyNumberFormat="1" applyFont="1"/>
    <xf numFmtId="164" fontId="5" fillId="0" borderId="0" xfId="0" applyNumberFormat="1" applyFont="1"/>
    <xf numFmtId="167" fontId="5" fillId="0" borderId="0" xfId="0" applyNumberFormat="1" applyFont="1"/>
    <xf numFmtId="0" fontId="5" fillId="0" borderId="14" xfId="0" applyFont="1" applyBorder="1"/>
    <xf numFmtId="0" fontId="5" fillId="0" borderId="15" xfId="0" applyFont="1" applyBorder="1"/>
    <xf numFmtId="0" fontId="6" fillId="0" borderId="15" xfId="0" applyFont="1" applyBorder="1"/>
    <xf numFmtId="4" fontId="5" fillId="0" borderId="16" xfId="0" applyNumberFormat="1" applyFont="1" applyBorder="1"/>
    <xf numFmtId="4" fontId="5" fillId="0" borderId="17" xfId="0" applyNumberFormat="1" applyFont="1" applyBorder="1"/>
    <xf numFmtId="0" fontId="8" fillId="0" borderId="0" xfId="0" applyFont="1"/>
    <xf numFmtId="4" fontId="9" fillId="0" borderId="2" xfId="0" applyNumberFormat="1" applyFont="1" applyBorder="1"/>
    <xf numFmtId="4" fontId="4" fillId="0" borderId="0" xfId="0" applyNumberFormat="1" applyFont="1"/>
    <xf numFmtId="164" fontId="10" fillId="0" borderId="0" xfId="0" applyNumberFormat="1" applyFont="1"/>
    <xf numFmtId="164" fontId="2" fillId="0" borderId="0" xfId="0" applyNumberFormat="1" applyFont="1"/>
    <xf numFmtId="0" fontId="8" fillId="0" borderId="0" xfId="0" applyFont="1" applyAlignment="1">
      <alignment horizontal="center"/>
    </xf>
    <xf numFmtId="167" fontId="2" fillId="0" borderId="0" xfId="0" applyNumberFormat="1" applyFont="1"/>
    <xf numFmtId="10" fontId="2" fillId="0" borderId="0" xfId="0" applyNumberFormat="1" applyFont="1"/>
    <xf numFmtId="0" fontId="3" fillId="0" borderId="0" xfId="0" applyFont="1"/>
    <xf numFmtId="0" fontId="2" fillId="0" borderId="2" xfId="0" applyFont="1" applyBorder="1"/>
    <xf numFmtId="14" fontId="2" fillId="0" borderId="0" xfId="0" applyNumberFormat="1" applyFont="1"/>
    <xf numFmtId="0" fontId="2" fillId="0" borderId="10" xfId="0" applyFont="1" applyBorder="1"/>
    <xf numFmtId="164" fontId="5" fillId="0" borderId="7" xfId="0" applyNumberFormat="1" applyFont="1" applyBorder="1"/>
    <xf numFmtId="165" fontId="11" fillId="0" borderId="0" xfId="0" applyNumberFormat="1" applyFont="1" applyAlignment="1">
      <alignment horizontal="right" vertical="top"/>
    </xf>
    <xf numFmtId="164" fontId="5" fillId="0" borderId="17" xfId="0" applyNumberFormat="1" applyFont="1" applyBorder="1"/>
    <xf numFmtId="0" fontId="2" fillId="0" borderId="15" xfId="0" applyFont="1" applyBorder="1"/>
    <xf numFmtId="0" fontId="12" fillId="0" borderId="0" xfId="0" applyFont="1" applyAlignment="1">
      <alignment horizontal="center"/>
    </xf>
    <xf numFmtId="0" fontId="13" fillId="0" borderId="0" xfId="0" applyFont="1"/>
    <xf numFmtId="0" fontId="8" fillId="0" borderId="18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14" fontId="8" fillId="0" borderId="20" xfId="0" applyNumberFormat="1" applyFont="1" applyBorder="1" applyAlignment="1">
      <alignment horizontal="center"/>
    </xf>
    <xf numFmtId="14" fontId="8" fillId="0" borderId="21" xfId="0" applyNumberFormat="1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24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26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2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22" xfId="0" applyFont="1" applyBorder="1"/>
    <xf numFmtId="0" fontId="8" fillId="0" borderId="26" xfId="0" applyFont="1" applyBorder="1"/>
    <xf numFmtId="0" fontId="8" fillId="0" borderId="6" xfId="0" applyFont="1" applyBorder="1"/>
    <xf numFmtId="0" fontId="8" fillId="0" borderId="7" xfId="0" applyFont="1" applyBorder="1"/>
    <xf numFmtId="4" fontId="8" fillId="0" borderId="6" xfId="0" applyNumberFormat="1" applyFont="1" applyBorder="1"/>
    <xf numFmtId="4" fontId="8" fillId="0" borderId="7" xfId="0" applyNumberFormat="1" applyFont="1" applyBorder="1"/>
    <xf numFmtId="4" fontId="8" fillId="0" borderId="0" xfId="0" applyNumberFormat="1" applyFont="1"/>
    <xf numFmtId="2" fontId="8" fillId="0" borderId="0" xfId="0" applyNumberFormat="1" applyFont="1"/>
    <xf numFmtId="0" fontId="8" fillId="0" borderId="28" xfId="0" applyFont="1" applyBorder="1"/>
    <xf numFmtId="4" fontId="8" fillId="0" borderId="29" xfId="0" applyNumberFormat="1" applyFont="1" applyBorder="1"/>
    <xf numFmtId="4" fontId="8" fillId="0" borderId="30" xfId="0" applyNumberFormat="1" applyFont="1" applyBorder="1"/>
    <xf numFmtId="4" fontId="8" fillId="0" borderId="31" xfId="0" applyNumberFormat="1" applyFont="1" applyBorder="1"/>
    <xf numFmtId="0" fontId="8" fillId="0" borderId="5" xfId="0" applyFont="1" applyBorder="1"/>
    <xf numFmtId="164" fontId="8" fillId="0" borderId="6" xfId="0" applyNumberFormat="1" applyFont="1" applyBorder="1"/>
    <xf numFmtId="2" fontId="8" fillId="0" borderId="6" xfId="0" applyNumberFormat="1" applyFont="1" applyBorder="1"/>
    <xf numFmtId="164" fontId="8" fillId="0" borderId="15" xfId="0" applyNumberFormat="1" applyFont="1" applyBorder="1"/>
    <xf numFmtId="164" fontId="8" fillId="0" borderId="0" xfId="0" applyNumberFormat="1" applyFont="1"/>
    <xf numFmtId="168" fontId="8" fillId="0" borderId="0" xfId="0" applyNumberFormat="1" applyFont="1"/>
    <xf numFmtId="4" fontId="14" fillId="0" borderId="0" xfId="0" applyNumberFormat="1" applyFont="1"/>
    <xf numFmtId="169" fontId="8" fillId="0" borderId="0" xfId="0" applyNumberFormat="1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170" fontId="18" fillId="0" borderId="10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170" fontId="17" fillId="0" borderId="10" xfId="0" applyNumberFormat="1" applyFont="1" applyBorder="1" applyAlignment="1">
      <alignment horizontal="center"/>
    </xf>
    <xf numFmtId="0" fontId="19" fillId="0" borderId="0" xfId="0" applyFont="1"/>
    <xf numFmtId="0" fontId="20" fillId="0" borderId="0" xfId="0" applyFont="1"/>
    <xf numFmtId="4" fontId="18" fillId="0" borderId="0" xfId="0" applyNumberFormat="1" applyFont="1"/>
    <xf numFmtId="4" fontId="17" fillId="0" borderId="0" xfId="0" applyNumberFormat="1" applyFont="1"/>
    <xf numFmtId="4" fontId="18" fillId="0" borderId="32" xfId="0" applyNumberFormat="1" applyFont="1" applyBorder="1"/>
    <xf numFmtId="4" fontId="18" fillId="0" borderId="10" xfId="0" applyNumberFormat="1" applyFont="1" applyBorder="1"/>
    <xf numFmtId="2" fontId="18" fillId="0" borderId="0" xfId="0" applyNumberFormat="1" applyFont="1"/>
    <xf numFmtId="0" fontId="21" fillId="0" borderId="0" xfId="0" applyFont="1"/>
    <xf numFmtId="4" fontId="21" fillId="0" borderId="0" xfId="0" applyNumberFormat="1" applyFont="1"/>
    <xf numFmtId="170" fontId="18" fillId="0" borderId="0" xfId="0" applyNumberFormat="1" applyFont="1" applyAlignment="1">
      <alignment horizontal="center"/>
    </xf>
    <xf numFmtId="164" fontId="22" fillId="0" borderId="0" xfId="0" applyNumberFormat="1" applyFont="1"/>
    <xf numFmtId="4" fontId="22" fillId="0" borderId="0" xfId="0" applyNumberFormat="1" applyFont="1"/>
    <xf numFmtId="0" fontId="22" fillId="0" borderId="0" xfId="0" applyFont="1"/>
    <xf numFmtId="171" fontId="18" fillId="0" borderId="0" xfId="0" applyNumberFormat="1" applyFont="1"/>
    <xf numFmtId="0" fontId="18" fillId="0" borderId="0" xfId="0" applyFont="1" applyAlignment="1">
      <alignment horizontal="center"/>
    </xf>
    <xf numFmtId="0" fontId="21" fillId="0" borderId="1" xfId="0" applyFont="1" applyBorder="1" applyAlignment="1">
      <alignment horizontal="center"/>
    </xf>
    <xf numFmtId="0" fontId="21" fillId="0" borderId="2" xfId="0" applyFont="1" applyBorder="1" applyAlignment="1">
      <alignment horizontal="center"/>
    </xf>
    <xf numFmtId="0" fontId="21" fillId="0" borderId="33" xfId="0" applyFont="1" applyBorder="1" applyAlignment="1">
      <alignment horizontal="center"/>
    </xf>
    <xf numFmtId="0" fontId="21" fillId="0" borderId="5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0" borderId="34" xfId="0" applyFont="1" applyBorder="1" applyAlignment="1">
      <alignment horizontal="center"/>
    </xf>
    <xf numFmtId="0" fontId="21" fillId="0" borderId="5" xfId="0" applyFont="1" applyBorder="1"/>
    <xf numFmtId="0" fontId="21" fillId="0" borderId="34" xfId="0" applyFont="1" applyBorder="1"/>
    <xf numFmtId="0" fontId="21" fillId="0" borderId="35" xfId="0" applyFont="1" applyBorder="1"/>
    <xf numFmtId="0" fontId="21" fillId="0" borderId="10" xfId="0" applyFont="1" applyBorder="1"/>
    <xf numFmtId="0" fontId="21" fillId="0" borderId="36" xfId="0" applyFont="1" applyBorder="1"/>
    <xf numFmtId="0" fontId="21" fillId="0" borderId="37" xfId="0" applyFont="1" applyBorder="1"/>
    <xf numFmtId="0" fontId="21" fillId="0" borderId="38" xfId="0" applyFont="1" applyBorder="1" applyAlignment="1">
      <alignment horizontal="center"/>
    </xf>
    <xf numFmtId="0" fontId="21" fillId="0" borderId="31" xfId="0" applyFont="1" applyBorder="1" applyAlignment="1">
      <alignment horizontal="center"/>
    </xf>
    <xf numFmtId="0" fontId="21" fillId="0" borderId="39" xfId="0" applyFont="1" applyBorder="1" applyAlignment="1">
      <alignment horizontal="center"/>
    </xf>
    <xf numFmtId="0" fontId="21" fillId="0" borderId="40" xfId="0" applyFont="1" applyBorder="1" applyAlignment="1">
      <alignment horizontal="center"/>
    </xf>
    <xf numFmtId="0" fontId="21" fillId="0" borderId="22" xfId="0" applyFont="1" applyBorder="1"/>
    <xf numFmtId="0" fontId="21" fillId="0" borderId="6" xfId="0" applyFont="1" applyBorder="1" applyAlignment="1">
      <alignment horizontal="center"/>
    </xf>
    <xf numFmtId="0" fontId="21" fillId="0" borderId="7" xfId="0" applyFont="1" applyBorder="1" applyAlignment="1">
      <alignment horizontal="center"/>
    </xf>
    <xf numFmtId="0" fontId="21" fillId="0" borderId="22" xfId="0" applyFont="1" applyBorder="1" applyAlignment="1">
      <alignment horizontal="center"/>
    </xf>
    <xf numFmtId="14" fontId="21" fillId="0" borderId="7" xfId="0" applyNumberFormat="1" applyFont="1" applyBorder="1" applyAlignment="1">
      <alignment horizontal="center"/>
    </xf>
    <xf numFmtId="0" fontId="21" fillId="0" borderId="27" xfId="0" applyFont="1" applyBorder="1"/>
    <xf numFmtId="0" fontId="21" fillId="0" borderId="8" xfId="0" applyFont="1" applyBorder="1"/>
    <xf numFmtId="0" fontId="21" fillId="0" borderId="9" xfId="0" applyFont="1" applyBorder="1"/>
    <xf numFmtId="4" fontId="21" fillId="0" borderId="6" xfId="0" applyNumberFormat="1" applyFont="1" applyBorder="1"/>
    <xf numFmtId="9" fontId="21" fillId="0" borderId="6" xfId="0" applyNumberFormat="1" applyFont="1" applyBorder="1" applyAlignment="1">
      <alignment horizontal="center"/>
    </xf>
    <xf numFmtId="4" fontId="21" fillId="0" borderId="7" xfId="0" applyNumberFormat="1" applyFont="1" applyBorder="1"/>
    <xf numFmtId="3" fontId="21" fillId="0" borderId="6" xfId="0" applyNumberFormat="1" applyFont="1" applyBorder="1" applyAlignment="1">
      <alignment horizontal="center"/>
    </xf>
    <xf numFmtId="0" fontId="21" fillId="0" borderId="28" xfId="0" applyFont="1" applyBorder="1"/>
    <xf numFmtId="4" fontId="21" fillId="0" borderId="29" xfId="0" applyNumberFormat="1" applyFont="1" applyBorder="1"/>
    <xf numFmtId="4" fontId="21" fillId="0" borderId="30" xfId="0" applyNumberFormat="1" applyFont="1" applyBorder="1"/>
    <xf numFmtId="4" fontId="11" fillId="0" borderId="0" xfId="0" applyNumberFormat="1" applyFont="1" applyAlignment="1">
      <alignment horizontal="right" vertical="top"/>
    </xf>
    <xf numFmtId="4" fontId="23" fillId="0" borderId="0" xfId="0" applyNumberFormat="1" applyFont="1"/>
    <xf numFmtId="0" fontId="24" fillId="0" borderId="0" xfId="0" applyFont="1"/>
    <xf numFmtId="0" fontId="21" fillId="0" borderId="1" xfId="0" applyFont="1" applyBorder="1"/>
    <xf numFmtId="0" fontId="21" fillId="0" borderId="2" xfId="0" applyFont="1" applyBorder="1"/>
    <xf numFmtId="0" fontId="21" fillId="0" borderId="3" xfId="0" applyFont="1" applyBorder="1" applyAlignment="1">
      <alignment horizontal="center"/>
    </xf>
    <xf numFmtId="0" fontId="21" fillId="0" borderId="4" xfId="0" applyFont="1" applyBorder="1" applyAlignment="1">
      <alignment horizontal="center"/>
    </xf>
    <xf numFmtId="0" fontId="8" fillId="0" borderId="33" xfId="0" applyFont="1" applyBorder="1" applyAlignment="1">
      <alignment horizontal="center"/>
    </xf>
    <xf numFmtId="0" fontId="21" fillId="0" borderId="0" xfId="0" applyFont="1" applyAlignment="1">
      <alignment horizontal="left"/>
    </xf>
    <xf numFmtId="0" fontId="8" fillId="0" borderId="34" xfId="0" applyFont="1" applyBorder="1" applyAlignment="1">
      <alignment horizontal="center"/>
    </xf>
    <xf numFmtId="14" fontId="21" fillId="0" borderId="8" xfId="0" applyNumberFormat="1" applyFont="1" applyBorder="1" applyAlignment="1">
      <alignment horizontal="center"/>
    </xf>
    <xf numFmtId="0" fontId="21" fillId="0" borderId="8" xfId="0" applyFont="1" applyBorder="1" applyAlignment="1">
      <alignment horizontal="center"/>
    </xf>
    <xf numFmtId="0" fontId="21" fillId="0" borderId="9" xfId="0" applyFont="1" applyBorder="1" applyAlignment="1">
      <alignment horizontal="center"/>
    </xf>
    <xf numFmtId="14" fontId="8" fillId="0" borderId="36" xfId="0" applyNumberFormat="1" applyFont="1" applyBorder="1" applyAlignment="1">
      <alignment horizontal="center"/>
    </xf>
    <xf numFmtId="164" fontId="21" fillId="0" borderId="6" xfId="0" applyNumberFormat="1" applyFont="1" applyBorder="1"/>
    <xf numFmtId="164" fontId="21" fillId="0" borderId="6" xfId="0" applyNumberFormat="1" applyFont="1" applyBorder="1" applyAlignment="1">
      <alignment horizontal="right"/>
    </xf>
    <xf numFmtId="164" fontId="21" fillId="0" borderId="40" xfId="0" applyNumberFormat="1" applyFont="1" applyBorder="1" applyAlignment="1">
      <alignment horizontal="right"/>
    </xf>
    <xf numFmtId="14" fontId="8" fillId="0" borderId="34" xfId="0" applyNumberFormat="1" applyFont="1" applyBorder="1" applyAlignment="1">
      <alignment horizontal="center"/>
    </xf>
    <xf numFmtId="4" fontId="11" fillId="0" borderId="0" xfId="0" applyNumberFormat="1" applyFont="1" applyAlignment="1">
      <alignment horizontal="right"/>
    </xf>
    <xf numFmtId="164" fontId="21" fillId="0" borderId="7" xfId="0" applyNumberFormat="1" applyFont="1" applyBorder="1" applyAlignment="1">
      <alignment horizontal="right"/>
    </xf>
    <xf numFmtId="0" fontId="11" fillId="0" borderId="0" xfId="0" applyFont="1" applyAlignment="1">
      <alignment horizontal="left"/>
    </xf>
    <xf numFmtId="14" fontId="8" fillId="0" borderId="0" xfId="0" applyNumberFormat="1" applyFont="1" applyAlignment="1">
      <alignment horizontal="center"/>
    </xf>
    <xf numFmtId="164" fontId="21" fillId="0" borderId="23" xfId="0" applyNumberFormat="1" applyFont="1" applyBorder="1"/>
    <xf numFmtId="0" fontId="21" fillId="0" borderId="41" xfId="0" applyFont="1" applyBorder="1"/>
    <xf numFmtId="0" fontId="25" fillId="0" borderId="42" xfId="0" applyFont="1" applyBorder="1"/>
    <xf numFmtId="164" fontId="21" fillId="0" borderId="42" xfId="0" applyNumberFormat="1" applyFont="1" applyBorder="1" applyAlignment="1">
      <alignment horizontal="right"/>
    </xf>
    <xf numFmtId="164" fontId="21" fillId="0" borderId="43" xfId="0" applyNumberFormat="1" applyFont="1" applyBorder="1" applyAlignment="1">
      <alignment horizontal="right"/>
    </xf>
    <xf numFmtId="4" fontId="8" fillId="0" borderId="44" xfId="0" applyNumberFormat="1" applyFont="1" applyBorder="1"/>
    <xf numFmtId="4" fontId="21" fillId="0" borderId="0" xfId="0" applyNumberFormat="1" applyFont="1" applyAlignment="1">
      <alignment horizontal="right"/>
    </xf>
    <xf numFmtId="2" fontId="21" fillId="0" borderId="0" xfId="0" applyNumberFormat="1" applyFont="1"/>
    <xf numFmtId="4" fontId="8" fillId="0" borderId="45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1"/>
  <sheetViews>
    <sheetView workbookViewId="0" zoomScale="100" zoomScaleNormal="100"/>
  </sheetViews>
  <sheetFormatPr defaultRowHeight="0" outlineLevelRow="0" outlineLevelCol="0" x14ac:dyDescent="0" customHeight="1"/>
  <cols>
    <col min="1" max="1" width="8.5546875" customWidth="1"/>
    <col min="2" max="2" width="48" customWidth="1"/>
    <col min="3" max="3" width="14.33203125" customWidth="1"/>
    <col min="4" max="4" width="14.44140625" customWidth="1"/>
    <col min="5" max="6" width="15.44140625" customWidth="1"/>
    <col min="7" max="7" width="16.33203125" customWidth="1"/>
    <col min="8" max="8" width="16.5546875" customWidth="1"/>
    <col min="9" max="9" width="14.44140625" customWidth="1"/>
    <col min="10" max="10" width="14.88671875" customWidth="1"/>
    <col min="11" max="257" width="9.109375" customWidth="1"/>
  </cols>
  <sheetData>
    <row r="1" spans="1:4" x14ac:dyDescent="0.25">
      <c r="A1" t="s">
        <v>0</v>
      </c>
      <c r="C1" s="1" t="s">
        <v>1</v>
      </c>
      <c r="D1"/>
    </row>
    <row r="3" spans="3:4" x14ac:dyDescent="0.25">
      <c r="C3" s="1" t="s">
        <v>2</v>
      </c>
      <c r="D3" s="1" t="s">
        <v>3</v>
      </c>
    </row>
    <row r="4" spans="1:1" x14ac:dyDescent="0.25">
      <c r="A4" t="s">
        <v>4</v>
      </c>
    </row>
    <row r="5" spans="2:5" x14ac:dyDescent="0.25">
      <c r="B5" t="s">
        <v>5</v>
      </c>
      <c r="C5" s="1">
        <f>IF(E5&gt;0,E5,0)</f>
        <v>4878940.17</v>
      </c>
      <c r="D5" s="1">
        <f>IF(E5&lt;0,-E5,0)</f>
        <v>0</v>
      </c>
      <c r="E5" s="1">
        <f>IFERROR(VLOOKUP(B5,$A$235:$B$357,2,FALSE),0)</f>
        <v>4878940.17</v>
      </c>
    </row>
    <row r="6" hidden="1" spans="2:5" x14ac:dyDescent="0.25">
      <c r="B6" t="s">
        <v>6</v>
      </c>
      <c r="C6" s="1">
        <f>IF(E6&gt;0,E6,0)</f>
        <v>0</v>
      </c>
      <c r="D6" s="1">
        <f>IF(E6&lt;0,-E6,0)</f>
        <v>0</v>
      </c>
      <c r="E6" s="1">
        <f>IFERROR(VLOOKUP(B6,$A$235:$B$357,2,FALSE),0)</f>
        <v>0</v>
      </c>
    </row>
    <row r="7" spans="2:5" x14ac:dyDescent="0.25">
      <c r="B7" t="s">
        <v>7</v>
      </c>
      <c r="C7" s="1">
        <f>IF(E7&gt;0,E7,0)</f>
        <v>219745.62</v>
      </c>
      <c r="D7" s="1">
        <f>IF(E7&lt;0,-E7,0)</f>
        <v>0</v>
      </c>
      <c r="E7" s="1">
        <f>IFERROR(VLOOKUP(B7,$A$235:$B$357,2,FALSE),0)</f>
        <v>219745.62</v>
      </c>
    </row>
    <row r="8" hidden="1" spans="2:5" x14ac:dyDescent="0.25">
      <c r="B8" t="s">
        <v>8</v>
      </c>
      <c r="C8" s="1">
        <f>IF(E8&gt;0,E8,0)</f>
        <v>0</v>
      </c>
      <c r="D8" s="1">
        <f>IF(E8&lt;0,-E8,0)</f>
        <v>0</v>
      </c>
      <c r="E8" s="1">
        <f>IFERROR(VLOOKUP(B8,$A$235:$B$357,2,FALSE),0)</f>
        <v>0</v>
      </c>
    </row>
    <row r="9" spans="2:5" x14ac:dyDescent="0.25">
      <c r="B9" t="s">
        <v>9</v>
      </c>
      <c r="C9" s="1">
        <f>IF(E9&gt;0,E9,0)</f>
        <v>228102.13</v>
      </c>
      <c r="D9" s="1">
        <f>IF(E9&lt;0,-E9,0)</f>
        <v>0</v>
      </c>
      <c r="E9" s="1">
        <f>IFERROR(VLOOKUP(B9,$A$235:$B$357,2,FALSE),0)</f>
        <v>228102.13</v>
      </c>
    </row>
    <row r="10" spans="2:5" x14ac:dyDescent="0.25">
      <c r="B10" t="s">
        <v>10</v>
      </c>
      <c r="C10" s="1">
        <f>IF(E10&gt;0,E10,0)</f>
        <v>0</v>
      </c>
      <c r="D10" s="1">
        <f>IF(E10&lt;0,-E10,0)</f>
        <v>408326930.73</v>
      </c>
      <c r="E10" s="1">
        <f>IFERROR(VLOOKUP(B10,$A$235:$B$357,2,FALSE),0)</f>
        <v>-408326930.73</v>
      </c>
    </row>
    <row r="11" hidden="1" spans="2:5" x14ac:dyDescent="0.25">
      <c r="B11" t="s">
        <v>11</v>
      </c>
      <c r="C11" s="1">
        <f>IF(E11&gt;0,E11,0)</f>
        <v>0</v>
      </c>
      <c r="D11" s="1">
        <f>IF(E11&lt;0,-E11,0)</f>
        <v>0</v>
      </c>
      <c r="E11" s="1">
        <f>IFERROR(VLOOKUP(B11,$A$235:$B$357,2,FALSE),0)</f>
        <v>0</v>
      </c>
    </row>
    <row r="12" spans="2:5" x14ac:dyDescent="0.25">
      <c r="B12" t="s">
        <v>12</v>
      </c>
      <c r="C12" s="1">
        <f>IF(E12&gt;0,E12,0)</f>
        <v>725484.5</v>
      </c>
      <c r="D12" s="1">
        <f>IF(E12&lt;0,-E12,0)</f>
        <v>0</v>
      </c>
      <c r="E12" s="1">
        <f>IFERROR(VLOOKUP(B12,$A$235:$B$357,2,FALSE),0)</f>
        <v>725484.5</v>
      </c>
    </row>
    <row r="13" hidden="1" spans="2:5" x14ac:dyDescent="0.25">
      <c r="B13" t="s">
        <v>13</v>
      </c>
      <c r="C13" s="1">
        <f>IF(E13&gt;0,E13,0)</f>
        <v>0</v>
      </c>
      <c r="D13" s="1">
        <f>IF(E13&lt;0,-E13,0)</f>
        <v>0</v>
      </c>
      <c r="E13" s="1">
        <f>IFERROR(VLOOKUP(B13,$A$235:$B$357,2,FALSE),0)</f>
        <v>0</v>
      </c>
    </row>
    <row r="14" hidden="1" spans="2:5" x14ac:dyDescent="0.25">
      <c r="B14" t="s">
        <v>14</v>
      </c>
      <c r="C14" s="1">
        <f>IF(E14&gt;0,E14,0)</f>
        <v>0</v>
      </c>
      <c r="D14" s="1">
        <f>IF(E14&lt;0,-E14,0)</f>
        <v>0</v>
      </c>
      <c r="E14" s="1">
        <f>IFERROR(VLOOKUP(B14,$A$235:$B$357,2,FALSE),0)</f>
        <v>0</v>
      </c>
    </row>
    <row r="15" spans="2:5" x14ac:dyDescent="0.25">
      <c r="B15" t="s">
        <v>15</v>
      </c>
      <c r="C15" s="1">
        <f>IF(E15&gt;0,E15,0)</f>
        <v>156195.52</v>
      </c>
      <c r="D15" s="1">
        <f>IF(E15&lt;0,-E15,0)</f>
        <v>0</v>
      </c>
      <c r="E15" s="1">
        <f>IFERROR(VLOOKUP(B15,$A$235:$B$357,2,FALSE),0)</f>
        <v>156195.52</v>
      </c>
    </row>
    <row r="16" spans="2:5" x14ac:dyDescent="0.25">
      <c r="B16" t="s">
        <v>16</v>
      </c>
      <c r="C16" s="1">
        <f>IF(E16&gt;0,E16,0)</f>
        <v>28186194.26</v>
      </c>
      <c r="D16" s="1">
        <f>IF(E16&lt;0,-E16,0)</f>
        <v>0</v>
      </c>
      <c r="E16" s="1">
        <f>IFERROR(VLOOKUP(B16,$A$235:$B$357,2,FALSE),0)</f>
        <v>28186194.26</v>
      </c>
    </row>
    <row r="17" hidden="1" spans="2:5" x14ac:dyDescent="0.25">
      <c r="B17" t="s">
        <v>17</v>
      </c>
      <c r="C17" s="1">
        <f>IF(E17&gt;0,E17,0)</f>
        <v>0</v>
      </c>
      <c r="D17" s="1">
        <f>IF(E17&lt;0,-E17,0)</f>
        <v>0</v>
      </c>
      <c r="E17" s="1">
        <f>IFERROR(VLOOKUP(B17,$A$235:$B$357,2,FALSE),0)</f>
        <v>0</v>
      </c>
    </row>
    <row r="18" hidden="1" spans="2:5" x14ac:dyDescent="0.25">
      <c r="B18" t="s">
        <v>18</v>
      </c>
      <c r="C18" s="1">
        <f>IF(E18&gt;0,E18,0)</f>
        <v>0</v>
      </c>
      <c r="D18" s="1">
        <f>IF(E18&lt;0,-E18,0)</f>
        <v>0</v>
      </c>
      <c r="E18" s="1">
        <f>IFERROR(VLOOKUP(B18,$A$235:$B$357,2,FALSE),0)</f>
        <v>0</v>
      </c>
    </row>
    <row r="19" spans="2:5" x14ac:dyDescent="0.25">
      <c r="B19" t="s">
        <v>19</v>
      </c>
      <c r="C19" s="1">
        <f>IF(E19&gt;0,E19,0)</f>
        <v>200000</v>
      </c>
      <c r="D19" s="1">
        <f>IF(E19&lt;0,-E19,0)</f>
        <v>0</v>
      </c>
      <c r="E19" s="1">
        <f>IFERROR(VLOOKUP(B19,$A$235:$B$357,2,FALSE),0)</f>
        <v>200000</v>
      </c>
    </row>
    <row r="20" hidden="1" spans="2:5" x14ac:dyDescent="0.25">
      <c r="B20" t="s">
        <v>20</v>
      </c>
      <c r="C20" s="1">
        <f>IF(E20&gt;0,E20,0)</f>
        <v>0</v>
      </c>
      <c r="D20" s="1">
        <f>IF(E20&lt;0,-E20,0)</f>
        <v>0</v>
      </c>
      <c r="E20" s="1">
        <f>IFERROR(VLOOKUP(B20,$A$235:$B$357,2,FALSE),0)</f>
        <v>0</v>
      </c>
    </row>
    <row r="21" spans="2:5" x14ac:dyDescent="0.25">
      <c r="B21" t="s">
        <v>21</v>
      </c>
      <c r="C21" s="1">
        <f>IF(E21&gt;0,E21,0)</f>
        <v>1600000</v>
      </c>
      <c r="D21" s="1">
        <f>IF(E21&lt;0,-E21,0)</f>
        <v>0</v>
      </c>
      <c r="E21" s="1">
        <f>IFERROR(VLOOKUP(B21,$A$235:$B$357,2,FALSE),0)</f>
        <v>1600000</v>
      </c>
    </row>
    <row r="22" spans="2:5" x14ac:dyDescent="0.25">
      <c r="B22" t="s">
        <v>22</v>
      </c>
      <c r="C22" s="1">
        <f>IF(E22&gt;0,E22,0)</f>
        <v>700000</v>
      </c>
      <c r="D22" s="1">
        <f>IF(E22&lt;0,-E22,0)</f>
        <v>0</v>
      </c>
      <c r="E22" s="1">
        <f>IFERROR(VLOOKUP(B22,$A$235:$B$357,2,FALSE),0)</f>
        <v>700000</v>
      </c>
    </row>
    <row r="23" hidden="1" spans="2:5" x14ac:dyDescent="0.25">
      <c r="B23" t="s">
        <v>23</v>
      </c>
      <c r="C23" s="1">
        <f>IF(E23&gt;0,E23,0)</f>
        <v>0</v>
      </c>
      <c r="D23" s="1">
        <f>IF(E23&lt;0,-E23,0)</f>
        <v>0</v>
      </c>
      <c r="E23" s="1">
        <f>IFERROR(VLOOKUP(B23,$A$235:$B$357,2,FALSE),0)</f>
        <v>0</v>
      </c>
    </row>
    <row r="24" spans="2:5" x14ac:dyDescent="0.25">
      <c r="B24" t="s">
        <v>24</v>
      </c>
      <c r="C24" s="1">
        <f>IF(E24&gt;0,E24,0)</f>
        <v>16566948.69</v>
      </c>
      <c r="D24" s="1">
        <f>IF(E24&lt;0,-E24,0)</f>
        <v>0</v>
      </c>
      <c r="E24" s="1">
        <f>IFERROR(VLOOKUP(B24,$A$235:$B$357,2,FALSE),0)</f>
        <v>16566948.69</v>
      </c>
    </row>
    <row r="25" spans="2:5" x14ac:dyDescent="0.25">
      <c r="B25" t="s">
        <v>25</v>
      </c>
      <c r="C25" s="1">
        <f>IF(E25&gt;0,E25,0)</f>
        <v>2883.36</v>
      </c>
      <c r="D25" s="1">
        <f>IF(E25&lt;0,-E25,0)</f>
        <v>0</v>
      </c>
      <c r="E25" s="1">
        <f>IFERROR(VLOOKUP(B25,$A$235:$B$357,2,FALSE),0)</f>
        <v>2883.36</v>
      </c>
    </row>
    <row r="26" hidden="1" spans="2:5" x14ac:dyDescent="0.25">
      <c r="B26" t="s">
        <v>26</v>
      </c>
      <c r="C26" s="1">
        <f>IF(E26&gt;0,E26,0)</f>
        <v>0</v>
      </c>
      <c r="D26" s="1">
        <f>IF(E26&lt;0,-E26,0)</f>
        <v>0</v>
      </c>
      <c r="E26" s="1">
        <f>IFERROR(VLOOKUP(B26,$A$235:$B$357,2,FALSE),0)</f>
        <v>0</v>
      </c>
    </row>
    <row r="27" spans="2:5" x14ac:dyDescent="0.25">
      <c r="B27" t="s">
        <v>27</v>
      </c>
      <c r="C27" s="1">
        <f>IF(E27&gt;0,E27,0)</f>
        <v>18111832.17</v>
      </c>
      <c r="D27" s="1">
        <f>IF(E27&lt;0,-E27,0)</f>
        <v>0</v>
      </c>
      <c r="E27" s="1">
        <f>IFERROR(VLOOKUP(B27,$A$235:$B$357,2,FALSE),0)</f>
        <v>18111832.17</v>
      </c>
    </row>
    <row r="28" hidden="1" spans="2:5" x14ac:dyDescent="0.25">
      <c r="B28" t="s">
        <v>28</v>
      </c>
      <c r="C28" s="1">
        <f>IF(E28&gt;0,E28,0)</f>
        <v>0</v>
      </c>
      <c r="D28" s="1">
        <f>IF(E28&lt;0,-E28,0)</f>
        <v>0</v>
      </c>
      <c r="E28" s="1">
        <f>IFERROR(VLOOKUP(B28,$A$235:$B$357,2,FALSE),0)</f>
        <v>0</v>
      </c>
    </row>
    <row r="29" hidden="1" spans="2:5" x14ac:dyDescent="0.25">
      <c r="B29" t="s">
        <v>29</v>
      </c>
      <c r="C29" s="1">
        <f>IF(E29&gt;0,E29,0)</f>
        <v>0</v>
      </c>
      <c r="D29" s="1">
        <f>IF(E29&lt;0,-E29,0)</f>
        <v>0</v>
      </c>
      <c r="E29" s="1">
        <f>IFERROR(VLOOKUP(B29,$A$235:$B$357,2,FALSE),0)</f>
        <v>0</v>
      </c>
    </row>
    <row r="30" spans="2:5" x14ac:dyDescent="0.25">
      <c r="B30" t="s">
        <v>30</v>
      </c>
      <c r="C30" s="1">
        <f>IF(E30&gt;0,E30,0)</f>
        <v>754089.29</v>
      </c>
      <c r="D30" s="1">
        <f>IF(E30&lt;0,-E30,0)</f>
        <v>0</v>
      </c>
      <c r="E30" s="1">
        <f>IFERROR(VLOOKUP(B30,$A$235:$B$357,2,FALSE),0)</f>
        <v>754089.29</v>
      </c>
    </row>
    <row r="31" spans="2:5" x14ac:dyDescent="0.25">
      <c r="B31" t="s">
        <v>31</v>
      </c>
      <c r="C31" s="1">
        <f>IF(E31&gt;0,E31,0)</f>
        <v>2913406.48</v>
      </c>
      <c r="D31" s="1">
        <f>IF(E31&lt;0,-E31,0)</f>
        <v>0</v>
      </c>
      <c r="E31" s="1">
        <f>IFERROR(VLOOKUP(B31,$A$235:$B$357,2,FALSE),0)</f>
        <v>2913406.48</v>
      </c>
    </row>
    <row r="32" spans="2:5" x14ac:dyDescent="0.25">
      <c r="B32" t="s">
        <v>32</v>
      </c>
      <c r="C32" s="1">
        <f>IF(E32&gt;0,E32,0)</f>
        <v>88910.51</v>
      </c>
      <c r="D32" s="1">
        <f>IF(E32&lt;0,-E32,0)</f>
        <v>0</v>
      </c>
      <c r="E32" s="1">
        <f>IFERROR(VLOOKUP(B32,$A$235:$B$357,2,FALSE),0)</f>
        <v>88910.51</v>
      </c>
    </row>
    <row r="33" spans="2:5" x14ac:dyDescent="0.25">
      <c r="B33" t="s">
        <v>33</v>
      </c>
      <c r="C33" s="1">
        <f>IF(E33&gt;0,E33,0)</f>
        <v>260544.35</v>
      </c>
      <c r="D33" s="1">
        <f>IF(E33&lt;0,-E33,0)</f>
        <v>0</v>
      </c>
      <c r="E33" s="1">
        <f>IFERROR(VLOOKUP(B33,$A$235:$B$357,2,FALSE),0)</f>
        <v>260544.35</v>
      </c>
    </row>
    <row r="34" spans="2:5" x14ac:dyDescent="0.25">
      <c r="B34" t="s">
        <v>34</v>
      </c>
      <c r="C34" s="1">
        <f>IF(E34&gt;0,E34,0)</f>
        <v>19271905.73</v>
      </c>
      <c r="D34" s="1">
        <f>IF(E34&lt;0,-E34,0)</f>
        <v>0</v>
      </c>
      <c r="E34" s="1">
        <f>IFERROR(VLOOKUP(B34,$A$235:$B$357,2,FALSE),0)</f>
        <v>19271905.73</v>
      </c>
    </row>
    <row r="35" spans="2:5" x14ac:dyDescent="0.25">
      <c r="B35" t="s">
        <v>35</v>
      </c>
      <c r="C35" s="1">
        <f>IF(E35&gt;0,E35,0)</f>
        <v>2833073.66</v>
      </c>
      <c r="D35" s="1">
        <f>IF(E35&lt;0,-E35,0)</f>
        <v>0</v>
      </c>
      <c r="E35" s="1">
        <f>IFERROR(VLOOKUP(B35,$A$235:$B$357,2,FALSE),0)</f>
        <v>2833073.66</v>
      </c>
    </row>
    <row r="36" spans="2:5" x14ac:dyDescent="0.25">
      <c r="B36" t="s">
        <v>36</v>
      </c>
      <c r="C36" s="1">
        <f>IF(E36&gt;0,E36,0)</f>
        <v>9565950.19</v>
      </c>
      <c r="D36" s="1">
        <f>IF(E36&lt;0,-E36,0)</f>
        <v>0</v>
      </c>
      <c r="E36" s="1">
        <f>IFERROR(VLOOKUP(B36,$A$235:$B$357,2,FALSE),0)</f>
        <v>9565950.19</v>
      </c>
    </row>
    <row r="37" spans="2:5" x14ac:dyDescent="0.25">
      <c r="B37" t="s">
        <v>37</v>
      </c>
      <c r="C37" s="1">
        <f>IF(E37&gt;0,E37,0)</f>
        <v>368456.52</v>
      </c>
      <c r="D37" s="1">
        <f>IF(E37&lt;0,-E37,0)</f>
        <v>0</v>
      </c>
      <c r="E37" s="1">
        <f>IFERROR(VLOOKUP(B37,$A$235:$B$357,2,FALSE),0)</f>
        <v>368456.52</v>
      </c>
    </row>
    <row r="38" spans="2:5" x14ac:dyDescent="0.25">
      <c r="B38" t="s">
        <v>38</v>
      </c>
      <c r="C38" s="1">
        <f>IF(E38&gt;0,E38,0)</f>
        <v>166243613.31</v>
      </c>
      <c r="D38" s="1">
        <f>IF(E38&lt;0,-E38,0)</f>
        <v>0</v>
      </c>
      <c r="E38" s="1">
        <f>IFERROR(VLOOKUP(B38,$A$235:$B$357,2,FALSE),0)</f>
        <v>166243613.31</v>
      </c>
    </row>
    <row r="39" spans="2:5" x14ac:dyDescent="0.25">
      <c r="B39" t="s">
        <v>39</v>
      </c>
      <c r="C39" s="1">
        <f>IF(E39&gt;0,E39,0)</f>
        <v>0</v>
      </c>
      <c r="D39" s="1">
        <f>IF(E39&lt;0,-E39,0)</f>
        <v>754089.29</v>
      </c>
      <c r="E39" s="1">
        <f>IFERROR(VLOOKUP(B39,$A$235:$B$357,2,FALSE),0)</f>
        <v>-754089.29</v>
      </c>
    </row>
    <row r="40" spans="2:5" x14ac:dyDescent="0.25">
      <c r="B40" t="s">
        <v>40</v>
      </c>
      <c r="C40" s="1">
        <f>IF(E40&gt;0,E40,0)</f>
        <v>0</v>
      </c>
      <c r="D40" s="1">
        <f>IF(E40&lt;0,-E40,0)</f>
        <v>2761557.11</v>
      </c>
      <c r="E40" s="1">
        <f>IFERROR(VLOOKUP(B40,$A$235:$B$357,2,FALSE),0)</f>
        <v>-2761557.11</v>
      </c>
    </row>
    <row r="41" spans="2:5" x14ac:dyDescent="0.25">
      <c r="B41" t="s">
        <v>41</v>
      </c>
      <c r="C41" s="1">
        <f>IF(E41&gt;0,E41,0)</f>
        <v>0</v>
      </c>
      <c r="D41" s="1">
        <f>IF(E41&lt;0,-E41,0)</f>
        <v>2833073.66</v>
      </c>
      <c r="E41" s="1">
        <f>IFERROR(VLOOKUP(B41,$A$235:$B$357,2,FALSE),0)</f>
        <v>-2833073.66</v>
      </c>
    </row>
    <row r="42" spans="2:5" x14ac:dyDescent="0.25">
      <c r="B42" t="s">
        <v>42</v>
      </c>
      <c r="C42" s="1">
        <f>IF(E42&gt;0,E42,0)</f>
        <v>0</v>
      </c>
      <c r="D42" s="1">
        <f>IF(E42&lt;0,-E42,0)</f>
        <v>9934406.71</v>
      </c>
      <c r="E42" s="1">
        <f>IFERROR(VLOOKUP(B42,$A$235:$B$357,2,FALSE),0)</f>
        <v>-9934406.71</v>
      </c>
    </row>
    <row r="43" spans="2:5" x14ac:dyDescent="0.25">
      <c r="B43" t="s">
        <v>43</v>
      </c>
      <c r="C43" s="1">
        <f>IF(E43&gt;0,E43,0)</f>
        <v>0</v>
      </c>
      <c r="D43" s="1">
        <f>IF(E43&lt;0,-E43,0)</f>
        <v>349454.86</v>
      </c>
      <c r="E43" s="1">
        <f>IFERROR(VLOOKUP(B43,$A$235:$B$357,2,FALSE),0)</f>
        <v>-349454.86</v>
      </c>
    </row>
    <row r="44" spans="2:5" x14ac:dyDescent="0.25">
      <c r="B44" t="s">
        <v>44</v>
      </c>
      <c r="C44" s="1">
        <f>IF(E44&gt;0,E44,0)</f>
        <v>0</v>
      </c>
      <c r="D44" s="1">
        <f>IF(E44&lt;0,-E44,0)</f>
        <v>17379802.28</v>
      </c>
      <c r="E44" s="1">
        <f>IFERROR(VLOOKUP(B44,$A$235:$B$357,2,FALSE),0)</f>
        <v>-17379802.28</v>
      </c>
    </row>
    <row r="45" spans="2:5" x14ac:dyDescent="0.25">
      <c r="B45" t="s">
        <v>45</v>
      </c>
      <c r="C45" s="1">
        <f>IF(E45&gt;0,E45,0)</f>
        <v>0</v>
      </c>
      <c r="D45" s="1">
        <f>IF(E45&lt;0,-E45,0)</f>
        <v>90810580.53</v>
      </c>
      <c r="E45" s="1">
        <f>IFERROR(VLOOKUP(B45,$A$235:$B$357,2,FALSE),0)</f>
        <v>-90810580.53</v>
      </c>
    </row>
    <row r="46" spans="5:6" x14ac:dyDescent="0.25">
      <c r="E46" s="1">
        <f>IFERROR(VLOOKUP(B46,$A$235:$B$357,2,FALSE),0)</f>
        <v>0</v>
      </c>
      <c r="F46" s="1">
        <f>SUM(E5:E45)</f>
        <v>-259273618.70999995</v>
      </c>
    </row>
    <row r="47" spans="1:5" x14ac:dyDescent="0.25">
      <c r="A47" t="s">
        <v>46</v>
      </c>
      <c r="E47" s="1">
        <f>IFERROR(VLOOKUP(B47,$A$235:$B$357,2,FALSE),0)</f>
        <v>0</v>
      </c>
    </row>
    <row r="48" hidden="1" spans="2:5" x14ac:dyDescent="0.25">
      <c r="B48" t="s">
        <v>47</v>
      </c>
      <c r="C48" s="1">
        <f>IF(E48&gt;0,E48,0)</f>
        <v>0</v>
      </c>
      <c r="D48" s="1">
        <f>IF(E48&lt;0,-E48,0)</f>
        <v>0</v>
      </c>
      <c r="E48" s="1">
        <f>IFERROR(VLOOKUP(B48,$A$235:$B$357,2,FALSE),0)</f>
        <v>0</v>
      </c>
    </row>
    <row r="49" hidden="1" spans="2:5" x14ac:dyDescent="0.25">
      <c r="B49" t="s">
        <v>48</v>
      </c>
      <c r="C49" s="1">
        <f>IF(E49&gt;0,E49,0)</f>
        <v>0</v>
      </c>
      <c r="D49" s="1">
        <f>IF(E49&lt;0,-E49,0)</f>
        <v>0</v>
      </c>
      <c r="E49" s="1">
        <f>IFERROR(VLOOKUP(B49,$A$235:$B$357,2,FALSE),0)</f>
        <v>0</v>
      </c>
    </row>
    <row r="50" hidden="1" spans="2:5" x14ac:dyDescent="0.25">
      <c r="B50" t="s">
        <v>49</v>
      </c>
      <c r="C50" s="1">
        <f>IF(E50&gt;0,E50,0)</f>
        <v>0</v>
      </c>
      <c r="D50" s="1">
        <f>IF(E50&lt;0,-E50,0)</f>
        <v>0</v>
      </c>
      <c r="E50" s="1">
        <f>IFERROR(VLOOKUP(B50,$A$235:$B$357,2,FALSE),0)</f>
        <v>0</v>
      </c>
    </row>
    <row r="51" hidden="1" spans="2:5" x14ac:dyDescent="0.25">
      <c r="B51" t="s">
        <v>50</v>
      </c>
      <c r="C51" s="1">
        <f>IF(E51&gt;0,E51,0)</f>
        <v>0</v>
      </c>
      <c r="D51" s="1">
        <f>IF(E51&lt;0,-E51,0)</f>
        <v>0</v>
      </c>
      <c r="E51" s="1">
        <f>IFERROR(VLOOKUP(B51,$A$235:$B$357,2,FALSE),0)</f>
        <v>0</v>
      </c>
    </row>
    <row r="52" hidden="1" spans="2:5" x14ac:dyDescent="0.25">
      <c r="B52" t="s">
        <v>51</v>
      </c>
      <c r="C52" s="1">
        <f>IF(E52&gt;0,E52,0)</f>
        <v>0</v>
      </c>
      <c r="D52" s="1">
        <f>IF(E52&lt;0,-E52,0)</f>
        <v>0</v>
      </c>
      <c r="E52" s="1">
        <f>IFERROR(VLOOKUP(B52,$A$235:$B$357,2,FALSE),0)</f>
        <v>0</v>
      </c>
    </row>
    <row r="53" hidden="1" spans="2:5" x14ac:dyDescent="0.25">
      <c r="B53" t="s">
        <v>52</v>
      </c>
      <c r="C53" s="1">
        <f>IF(E53&gt;0,E53,0)</f>
        <v>0</v>
      </c>
      <c r="D53" s="1">
        <f>IF(E53&lt;0,-E53,0)</f>
        <v>0</v>
      </c>
      <c r="E53" s="1">
        <f>IFERROR(VLOOKUP(B53,$A$235:$B$357,2,FALSE),0)</f>
        <v>0</v>
      </c>
    </row>
    <row r="54" hidden="1" spans="2:5" x14ac:dyDescent="0.25">
      <c r="B54" t="s">
        <v>53</v>
      </c>
      <c r="C54" s="1">
        <f>IF(E54&gt;0,E54,0)</f>
        <v>0</v>
      </c>
      <c r="D54" s="1">
        <f>IF(E54&lt;0,-E54,0)</f>
        <v>0</v>
      </c>
      <c r="E54" s="1">
        <f>IFERROR(VLOOKUP(B54,$A$235:$B$357,2,FALSE),0)</f>
        <v>0</v>
      </c>
    </row>
    <row r="55" spans="2:5" x14ac:dyDescent="0.25">
      <c r="B55" t="s">
        <v>54</v>
      </c>
      <c r="C55" s="1">
        <f>IF(E55&gt;0,E55,0)</f>
        <v>0</v>
      </c>
      <c r="D55" s="1">
        <f>IF(E55&lt;0,-E55,0)</f>
        <v>841654.84</v>
      </c>
      <c r="E55" s="1">
        <f>IFERROR(VLOOKUP(B55,$A$235:$B$357,2,FALSE),0)</f>
        <v>-841654.84</v>
      </c>
    </row>
    <row r="56" hidden="1" spans="2:5" x14ac:dyDescent="0.25">
      <c r="B56" t="s">
        <v>55</v>
      </c>
      <c r="C56" s="1">
        <f>IF(E56&gt;0,E56,0)</f>
        <v>0</v>
      </c>
      <c r="D56" s="1">
        <f>IF(E56&lt;0,-E56,0)</f>
        <v>0</v>
      </c>
      <c r="E56" s="1">
        <f>IFERROR(VLOOKUP(B56,$A$235:$B$357,2,FALSE),0)</f>
        <v>0</v>
      </c>
    </row>
    <row r="57" hidden="1" spans="2:5" x14ac:dyDescent="0.25">
      <c r="B57" t="s">
        <v>56</v>
      </c>
      <c r="C57" s="1">
        <f>IF(E57&gt;0,E57,0)</f>
        <v>0</v>
      </c>
      <c r="D57" s="1">
        <f>IF(E57&lt;0,-E57,0)</f>
        <v>0</v>
      </c>
      <c r="E57" s="1">
        <f>IFERROR(VLOOKUP(B57,$A$235:$B$357,2,FALSE),0)</f>
        <v>0</v>
      </c>
    </row>
    <row r="58" spans="2:5" x14ac:dyDescent="0.25">
      <c r="B58" t="s">
        <v>57</v>
      </c>
      <c r="C58" s="1">
        <f>IF(E58&gt;0,E58,0)</f>
        <v>0</v>
      </c>
      <c r="D58" s="1">
        <f>IF(E58&lt;0,-E58,0)</f>
        <v>6500</v>
      </c>
      <c r="E58" s="1">
        <f>IFERROR(VLOOKUP(B58,$A$235:$B$357,2,FALSE),0)</f>
        <v>-6500</v>
      </c>
    </row>
    <row r="59" spans="2:5" x14ac:dyDescent="0.25">
      <c r="B59" t="s">
        <v>58</v>
      </c>
      <c r="C59" s="1">
        <f>IF(E59&gt;0,E59,0)</f>
        <v>0</v>
      </c>
      <c r="D59" s="1">
        <f>IF(E59&lt;0,-E59,0)</f>
        <v>13023314.89</v>
      </c>
      <c r="E59" s="1">
        <f>IFERROR(VLOOKUP(B59,$A$235:$B$357,2,FALSE),0)</f>
        <v>-13023314.89</v>
      </c>
    </row>
    <row r="60" hidden="1" spans="2:5" x14ac:dyDescent="0.25">
      <c r="B60" t="s">
        <v>59</v>
      </c>
      <c r="C60" s="1">
        <f>IF(E60&gt;0,E60,0)</f>
        <v>0</v>
      </c>
      <c r="D60" s="1">
        <f>IF(E60&lt;0,-E60,0)</f>
        <v>0</v>
      </c>
      <c r="E60" s="1">
        <f>IFERROR(VLOOKUP(B60,$A$235:$B$357,2,FALSE),0)</f>
        <v>0</v>
      </c>
    </row>
    <row r="61" hidden="1" spans="2:5" x14ac:dyDescent="0.25">
      <c r="B61" t="s">
        <v>60</v>
      </c>
      <c r="C61" s="1">
        <f>IF(E61&gt;0,E61,0)</f>
        <v>0</v>
      </c>
      <c r="D61" s="1">
        <f>IF(E61&lt;0,-E61,0)</f>
        <v>0</v>
      </c>
      <c r="E61" s="1">
        <f>IFERROR(VLOOKUP(B61,$A$235:$B$357,2,FALSE),0)</f>
        <v>0</v>
      </c>
    </row>
    <row r="62" spans="2:5" x14ac:dyDescent="0.25">
      <c r="B62" t="s">
        <v>61</v>
      </c>
      <c r="C62" s="1">
        <f>IF(E62&gt;0,E62,0)</f>
        <v>0</v>
      </c>
      <c r="D62" s="1">
        <f>IF(E62&lt;0,-E62,0)</f>
        <v>211080.6</v>
      </c>
      <c r="E62" s="1">
        <f>IFERROR(VLOOKUP(B62,$A$235:$B$357,2,FALSE),0)</f>
        <v>-211080.6</v>
      </c>
    </row>
    <row r="63" spans="2:5" x14ac:dyDescent="0.25">
      <c r="B63" t="s">
        <v>62</v>
      </c>
      <c r="C63" s="1">
        <f>IF(E63&gt;0,E63,0)</f>
        <v>100</v>
      </c>
      <c r="D63" s="1">
        <f>IF(E63&lt;0,-E63,0)</f>
        <v>0</v>
      </c>
      <c r="E63" s="1">
        <f>IFERROR(VLOOKUP(B63,$A$235:$B$357,2,FALSE),0)</f>
        <v>100</v>
      </c>
    </row>
    <row r="64" hidden="1" spans="2:5" x14ac:dyDescent="0.25">
      <c r="B64" t="s">
        <v>63</v>
      </c>
      <c r="C64" s="1">
        <f>IF(E64&gt;0,E64,0)</f>
        <v>0</v>
      </c>
      <c r="D64" s="1">
        <f>IF(E64&lt;0,-E64,0)</f>
        <v>0</v>
      </c>
      <c r="E64" s="1">
        <f>IFERROR(VLOOKUP(B64,$A$235:$B$357,2,FALSE),0)</f>
        <v>0</v>
      </c>
    </row>
    <row r="65" hidden="1" spans="2:5" x14ac:dyDescent="0.25">
      <c r="B65" t="s">
        <v>64</v>
      </c>
      <c r="C65" s="1">
        <f>IF(E65&gt;0,E65,0)</f>
        <v>0</v>
      </c>
      <c r="D65" s="1">
        <f>IF(E65&lt;0,-E65,0)</f>
        <v>0</v>
      </c>
      <c r="E65" s="1">
        <f>IFERROR(VLOOKUP(B65,$A$235:$B$357,2,FALSE),0)</f>
        <v>0</v>
      </c>
    </row>
    <row r="66" hidden="1" spans="2:5" x14ac:dyDescent="0.25">
      <c r="B66" t="s">
        <v>65</v>
      </c>
      <c r="C66" s="1">
        <f>IF(E66&gt;0,E66,0)</f>
        <v>0</v>
      </c>
      <c r="D66" s="1">
        <f>IF(E66&lt;0,-E66,0)</f>
        <v>0</v>
      </c>
      <c r="E66" s="1">
        <f>IFERROR(VLOOKUP(B66,$A$235:$B$357,2,FALSE),0)</f>
        <v>0</v>
      </c>
    </row>
    <row r="67" hidden="1" spans="2:5" x14ac:dyDescent="0.25">
      <c r="B67" t="s">
        <v>66</v>
      </c>
      <c r="C67" s="1">
        <f>IF(E67&gt;0,E67,0)</f>
        <v>0</v>
      </c>
      <c r="D67" s="1">
        <f>IF(E67&lt;0,-E67,0)</f>
        <v>0</v>
      </c>
      <c r="E67" s="1">
        <f>IFERROR(VLOOKUP(B67,$A$235:$B$357,2,FALSE),0)</f>
        <v>0</v>
      </c>
    </row>
    <row r="68" hidden="1" spans="2:7" x14ac:dyDescent="0.25">
      <c r="B68" t="s">
        <v>67</v>
      </c>
      <c r="C68" s="1">
        <f>IF(E68&gt;0,E68,0)</f>
        <v>0</v>
      </c>
      <c r="D68" s="1">
        <f>IF(E68&lt;0,-E68,0)</f>
        <v>0</v>
      </c>
      <c r="E68" s="1">
        <f>IFERROR(VLOOKUP(B68,$A$235:$B$357,2,FALSE),0)</f>
        <v>0</v>
      </c>
      <c r="G68" s="2" t="s">
        <v>68</v>
      </c>
    </row>
    <row r="69" spans="2:5" x14ac:dyDescent="0.25">
      <c r="B69" t="s">
        <v>69</v>
      </c>
      <c r="C69" s="1">
        <f>IF(E69&gt;0,E69,0)</f>
        <v>2230648.47</v>
      </c>
      <c r="D69" s="1">
        <f>IF(E69&lt;0,-E69,0)</f>
        <v>0</v>
      </c>
      <c r="E69" s="1">
        <f>IFERROR(VLOOKUP(B69,$A$235:$B$357,2,FALSE),0)</f>
        <v>2230648.47</v>
      </c>
    </row>
    <row r="70" spans="2:5" x14ac:dyDescent="0.25">
      <c r="B70" t="s">
        <v>70</v>
      </c>
      <c r="C70" s="1">
        <f>IF(E70&gt;0,E70,0)</f>
        <v>0</v>
      </c>
      <c r="D70" s="1">
        <f>IF(E70&lt;0,-E70,0)</f>
        <v>36000</v>
      </c>
      <c r="E70" s="1">
        <f>IFERROR(VLOOKUP(B70,$A$235:$B$357,2,FALSE),0)</f>
        <v>-36000</v>
      </c>
    </row>
    <row r="71" hidden="1" spans="2:5" x14ac:dyDescent="0.25">
      <c r="B71" t="s">
        <v>71</v>
      </c>
      <c r="C71" s="1">
        <f>IF(E71&gt;0,E71,0)</f>
        <v>0</v>
      </c>
      <c r="D71" s="1">
        <f>IF(E71&lt;0,-E71,0)</f>
        <v>0</v>
      </c>
      <c r="E71" s="1">
        <f>IFERROR(VLOOKUP(B71,$A$235:$B$357,2,FALSE),0)</f>
        <v>0</v>
      </c>
    </row>
    <row r="72" hidden="1" spans="2:5" x14ac:dyDescent="0.25">
      <c r="B72" t="s">
        <v>72</v>
      </c>
      <c r="C72" s="1">
        <f>IF(E72&gt;0,E72,0)</f>
        <v>0</v>
      </c>
      <c r="D72" s="1">
        <f>IF(E72&lt;0,-E72,0)</f>
        <v>0</v>
      </c>
      <c r="E72" s="1">
        <f>IFERROR(VLOOKUP(B72,$A$235:$B$357,2,FALSE),0)</f>
        <v>0</v>
      </c>
    </row>
    <row r="73" hidden="1" spans="2:5" x14ac:dyDescent="0.25">
      <c r="B73" t="s">
        <v>73</v>
      </c>
      <c r="C73" s="1">
        <f>IF(E73&gt;0,E73,0)</f>
        <v>0</v>
      </c>
      <c r="D73" s="1">
        <f>IF(E73&lt;0,-E73,0)</f>
        <v>0</v>
      </c>
      <c r="E73" s="1">
        <f>IFERROR(VLOOKUP(B73,$A$235:$B$357,2,FALSE),0)</f>
        <v>0</v>
      </c>
    </row>
    <row r="74" spans="2:5" x14ac:dyDescent="0.25">
      <c r="B74" t="s">
        <v>74</v>
      </c>
      <c r="C74" s="1">
        <f>IF(E74&gt;0,E74,0)</f>
        <v>0</v>
      </c>
      <c r="D74" s="1">
        <f>IF(E74&lt;0,-E74,0)</f>
        <v>13528940.040000001</v>
      </c>
      <c r="E74" s="1">
        <f>IFERROR(VLOOKUP(B74,$A$235:$B$357,2,FALSE),0)</f>
        <v>-13528940.040000001</v>
      </c>
    </row>
    <row r="75" spans="2:5" x14ac:dyDescent="0.25">
      <c r="B75" t="s">
        <v>75</v>
      </c>
      <c r="C75" s="1">
        <f>IF(E75&gt;0,E75,0)</f>
        <v>0</v>
      </c>
      <c r="D75" s="1">
        <f>IF(E75&lt;0,-E75,0)</f>
        <v>846673.24</v>
      </c>
      <c r="E75" s="1">
        <f>IFERROR(VLOOKUP(B75,$A$235:$B$357,2,FALSE),0)</f>
        <v>-846673.24</v>
      </c>
    </row>
    <row r="76" hidden="1" spans="2:5" x14ac:dyDescent="0.25">
      <c r="B76" t="s">
        <v>76</v>
      </c>
      <c r="C76" s="1">
        <f>IF(E76&gt;0,E76,0)</f>
        <v>0</v>
      </c>
      <c r="D76" s="1">
        <f>IF(E76&lt;0,-E76,0)</f>
        <v>0</v>
      </c>
      <c r="E76" s="1">
        <f>IFERROR(VLOOKUP(B76,$A$235:$B$357,2,FALSE),0)</f>
        <v>0</v>
      </c>
    </row>
    <row r="77" hidden="1" spans="2:5" x14ac:dyDescent="0.25">
      <c r="B77" t="s">
        <v>77</v>
      </c>
      <c r="C77" s="1">
        <f>IF(E77&gt;0,E77,0)</f>
        <v>0</v>
      </c>
      <c r="D77" s="1">
        <f>IF(E77&lt;0,-E77,0)</f>
        <v>0</v>
      </c>
      <c r="E77" s="1">
        <f>IFERROR(VLOOKUP(B77,$A$235:$B$357,2,FALSE),0)</f>
        <v>0</v>
      </c>
    </row>
    <row r="78" spans="2:5" x14ac:dyDescent="0.25">
      <c r="B78" t="s">
        <v>78</v>
      </c>
      <c r="C78" s="1">
        <f>IF(E78&gt;0,E78,0)</f>
        <v>0</v>
      </c>
      <c r="D78" s="1">
        <f>IF(E78&lt;0,-E78,0)</f>
        <v>587820.73</v>
      </c>
      <c r="E78" s="1">
        <f>IFERROR(VLOOKUP(B78,$A$235:$B$357,2,FALSE),0)</f>
        <v>-587820.73</v>
      </c>
    </row>
    <row r="79" spans="2:5" x14ac:dyDescent="0.25">
      <c r="B79" t="s">
        <v>79</v>
      </c>
      <c r="C79" s="1">
        <f>IF(E79&gt;0,E79,0)</f>
        <v>59671.53</v>
      </c>
      <c r="D79" s="1">
        <f>IF(E79&lt;0,-E79,0)</f>
        <v>0</v>
      </c>
      <c r="E79" s="1">
        <f>IFERROR(VLOOKUP(B79,$A$235:$B$357,2,FALSE),0)</f>
        <v>59671.53</v>
      </c>
    </row>
    <row r="80" spans="2:5" x14ac:dyDescent="0.25">
      <c r="B80" t="s">
        <v>80</v>
      </c>
      <c r="C80" s="1">
        <f>IF(E80&gt;0,E80,0)</f>
        <v>0</v>
      </c>
      <c r="D80" s="1">
        <f>IF(E80&lt;0,-E80,0)</f>
        <v>127381500</v>
      </c>
      <c r="E80" s="1">
        <f>IFERROR(VLOOKUP(B80,$A$235:$B$357,2,FALSE),0)</f>
        <v>-127381500</v>
      </c>
    </row>
    <row r="81" hidden="1" spans="2:5" x14ac:dyDescent="0.25">
      <c r="B81" t="s">
        <v>81</v>
      </c>
      <c r="C81" s="1">
        <f>IF(E81&gt;0,E81,0)</f>
        <v>0</v>
      </c>
      <c r="D81" s="1">
        <f>IF(E81&lt;0,-E81,0)</f>
        <v>0</v>
      </c>
      <c r="E81" s="1">
        <f>IFERROR(VLOOKUP(B81,$A$235:$B$357,2,FALSE),0)</f>
        <v>0</v>
      </c>
    </row>
    <row r="82" spans="2:5" x14ac:dyDescent="0.25">
      <c r="B82" t="s">
        <v>82</v>
      </c>
      <c r="C82" s="1">
        <f>IF(E82&gt;0,E82,0)</f>
        <v>0</v>
      </c>
      <c r="D82" s="1">
        <f>IF(E82&lt;0,-E82,0)</f>
        <v>33000</v>
      </c>
      <c r="E82" s="1">
        <f>IFERROR(VLOOKUP(B82,$A$235:$B$357,2,FALSE),0)</f>
        <v>-33000</v>
      </c>
    </row>
    <row r="83" hidden="1" spans="2:5" x14ac:dyDescent="0.25">
      <c r="B83" t="s">
        <v>83</v>
      </c>
      <c r="C83" s="1">
        <f>IF(E83&gt;0,E83,0)</f>
        <v>0</v>
      </c>
      <c r="D83" s="1">
        <f>IF(E83&lt;0,-E83,0)</f>
        <v>0</v>
      </c>
      <c r="E83" s="1">
        <f>IFERROR(VLOOKUP(B83,$A$235:$B$357,2,FALSE),0)</f>
        <v>0</v>
      </c>
    </row>
    <row r="84" spans="2:5" x14ac:dyDescent="0.25">
      <c r="B84" t="s">
        <v>84</v>
      </c>
      <c r="C84" s="1">
        <f>IF(E84&gt;0,E84,0)</f>
        <v>0</v>
      </c>
      <c r="D84" s="1">
        <f>IF(E84&lt;0,-E84,0)</f>
        <v>604</v>
      </c>
      <c r="E84" s="1">
        <f>IFERROR(VLOOKUP(B84,$A$235:$B$357,2,FALSE),0)</f>
        <v>-604</v>
      </c>
    </row>
    <row r="85" hidden="1" spans="2:5" x14ac:dyDescent="0.25">
      <c r="B85" t="s">
        <v>85</v>
      </c>
      <c r="C85" s="1">
        <f>IF(E85&gt;0,E85,0)</f>
        <v>0</v>
      </c>
      <c r="D85" s="1">
        <f>IF(E85&lt;0,-E85,0)</f>
        <v>0</v>
      </c>
      <c r="E85" s="1">
        <f>IFERROR(VLOOKUP(B85,$A$235:$B$357,2,FALSE),0)</f>
        <v>0</v>
      </c>
    </row>
    <row r="86" hidden="1" spans="2:5" x14ac:dyDescent="0.25">
      <c r="B86" t="s">
        <v>86</v>
      </c>
      <c r="C86" s="1">
        <f>IF(E86&gt;0,E86,0)</f>
        <v>0</v>
      </c>
      <c r="D86" s="1">
        <f>IF(E86&lt;0,-E86,0)</f>
        <v>0</v>
      </c>
      <c r="E86" s="1">
        <f>IFERROR(VLOOKUP(B86,$A$235:$B$357,2,FALSE),0)</f>
        <v>0</v>
      </c>
    </row>
    <row r="87" hidden="1" spans="2:5" x14ac:dyDescent="0.25">
      <c r="B87" t="s">
        <v>87</v>
      </c>
      <c r="C87" s="1">
        <f>IF(E87&gt;0,E87,0)</f>
        <v>0</v>
      </c>
      <c r="D87" s="1">
        <f>IF(E87&lt;0,-E87,0)</f>
        <v>0</v>
      </c>
      <c r="E87" s="1">
        <f>IFERROR(VLOOKUP(B87,$A$235:$B$357,2,FALSE),0)</f>
        <v>0</v>
      </c>
    </row>
    <row r="88" spans="2:5" x14ac:dyDescent="0.25">
      <c r="B88" t="s">
        <v>88</v>
      </c>
      <c r="C88" s="1">
        <f>IF(E88&gt;0,E88,0)</f>
        <v>0</v>
      </c>
      <c r="D88" s="1">
        <f>IF(E88&lt;0,-E88,0)</f>
        <v>2000</v>
      </c>
      <c r="E88" s="1">
        <f>IFERROR(VLOOKUP(B88,$A$235:$B$357,2,FALSE),0)</f>
        <v>-2000</v>
      </c>
    </row>
    <row r="89" hidden="1" spans="2:5" x14ac:dyDescent="0.25">
      <c r="B89" t="s">
        <v>89</v>
      </c>
      <c r="C89" s="1">
        <f>IF(E89&gt;0,E89,0)</f>
        <v>0</v>
      </c>
      <c r="D89" s="1">
        <f>IF(E89&lt;0,-E89,0)</f>
        <v>0</v>
      </c>
      <c r="E89" s="1">
        <f>IFERROR(VLOOKUP(B89,$A$235:$B$357,2,FALSE),0)</f>
        <v>0</v>
      </c>
    </row>
    <row r="90" hidden="1" spans="2:5" x14ac:dyDescent="0.25">
      <c r="B90" t="s">
        <v>90</v>
      </c>
      <c r="C90" s="1">
        <f>IF(E90&gt;0,E90,0)</f>
        <v>0</v>
      </c>
      <c r="D90" s="1">
        <f>IF(E90&lt;0,-E90,0)</f>
        <v>0</v>
      </c>
      <c r="E90" s="1">
        <f>IFERROR(VLOOKUP(B90,$A$235:$B$357,2,FALSE),0)</f>
        <v>0</v>
      </c>
    </row>
    <row r="91" hidden="1" spans="2:5" x14ac:dyDescent="0.25">
      <c r="B91" t="s">
        <v>91</v>
      </c>
      <c r="C91" s="1">
        <f>IF(E91&gt;0,E91,0)</f>
        <v>0</v>
      </c>
      <c r="D91" s="1">
        <f>IF(E91&lt;0,-E91,0)</f>
        <v>0</v>
      </c>
      <c r="E91" s="1">
        <f>IFERROR(VLOOKUP(B91,$A$235:$B$357,2,FALSE),0)</f>
        <v>0</v>
      </c>
    </row>
    <row r="92" spans="2:5" x14ac:dyDescent="0.25">
      <c r="B92" t="s">
        <v>92</v>
      </c>
      <c r="C92" s="1">
        <f>IF(E92&gt;0,E92,0)</f>
        <v>600</v>
      </c>
      <c r="D92" s="1">
        <f>IF(E92&lt;0,-E92,0)</f>
        <v>0</v>
      </c>
      <c r="E92" s="1">
        <f>IFERROR(VLOOKUP(B92,$A$235:$B$357,2,FALSE),0)</f>
        <v>600</v>
      </c>
    </row>
    <row r="93" spans="2:5" x14ac:dyDescent="0.25">
      <c r="B93" t="s">
        <v>93</v>
      </c>
      <c r="C93" s="1">
        <f>IF(E93&gt;0,E93,0)</f>
        <v>0</v>
      </c>
      <c r="D93" s="1">
        <f>IF(E93&lt;0,-E93,0)</f>
        <v>7949700</v>
      </c>
      <c r="E93" s="1">
        <f>IFERROR(VLOOKUP(B93,$A$235:$B$357,2,FALSE),0)</f>
        <v>-7949700</v>
      </c>
    </row>
    <row r="94" spans="2:5" x14ac:dyDescent="0.25">
      <c r="B94" t="s">
        <v>94</v>
      </c>
      <c r="C94" s="1">
        <f>IF(E94&gt;0,E94,0)</f>
        <v>0</v>
      </c>
      <c r="D94" s="1">
        <f>IF(E94&lt;0,-E94,0)</f>
        <v>16449000</v>
      </c>
      <c r="E94" s="1">
        <f>IFERROR(VLOOKUP(B94,$A$235:$B$357,2,FALSE),0)</f>
        <v>-16449000</v>
      </c>
    </row>
    <row r="95" hidden="1" spans="2:5" x14ac:dyDescent="0.25">
      <c r="B95" t="s">
        <v>95</v>
      </c>
      <c r="C95" s="1">
        <f>IF(E95&gt;0,E95,0)</f>
        <v>0</v>
      </c>
      <c r="D95" s="1">
        <f>IF(E95&lt;0,-E95,0)</f>
        <v>0</v>
      </c>
      <c r="E95" s="1">
        <f>IFERROR(VLOOKUP(B95,$A$235:$B$357,2,FALSE),0)</f>
        <v>0</v>
      </c>
    </row>
    <row r="96" hidden="1" spans="2:5" x14ac:dyDescent="0.25">
      <c r="B96" t="s">
        <v>96</v>
      </c>
      <c r="C96" s="1">
        <f>IF(E96&gt;0,E96,0)</f>
        <v>0</v>
      </c>
      <c r="D96" s="1">
        <f>IF(E96&lt;0,-E96,0)</f>
        <v>0</v>
      </c>
      <c r="E96" s="1">
        <f>IFERROR(VLOOKUP(B96,$A$235:$B$357,2,FALSE),0)</f>
        <v>0</v>
      </c>
    </row>
    <row r="97" hidden="1" spans="2:5" x14ac:dyDescent="0.25">
      <c r="B97" t="s">
        <v>97</v>
      </c>
      <c r="C97" s="1">
        <f>IF(E97&gt;0,E97,0)</f>
        <v>0</v>
      </c>
      <c r="D97" s="1">
        <f>IF(E97&lt;0,-E97,0)</f>
        <v>0</v>
      </c>
      <c r="E97" s="1">
        <f>IFERROR(VLOOKUP(B97,$A$235:$B$357,2,FALSE),0)</f>
        <v>0</v>
      </c>
    </row>
    <row r="98" hidden="1" spans="2:5" x14ac:dyDescent="0.25">
      <c r="B98" t="s">
        <v>98</v>
      </c>
      <c r="C98" s="1">
        <f>IF(E98&gt;0,E98,0)</f>
        <v>0</v>
      </c>
      <c r="D98" s="1">
        <f>IF(E98&lt;0,-E98,0)</f>
        <v>0</v>
      </c>
      <c r="E98" s="1">
        <f>IFERROR(VLOOKUP(B98,$A$235:$B$357,2,FALSE),0)</f>
        <v>0</v>
      </c>
    </row>
    <row r="99" hidden="1" spans="2:5" x14ac:dyDescent="0.25">
      <c r="B99" t="s">
        <v>99</v>
      </c>
      <c r="C99" s="1">
        <f>IF(E99&gt;0,E99,0)</f>
        <v>0</v>
      </c>
      <c r="D99" s="1">
        <f>IF(E99&lt;0,-E99,0)</f>
        <v>0</v>
      </c>
      <c r="E99" s="1">
        <f>IFERROR(VLOOKUP(B99,$A$235:$B$357,2,FALSE),0)</f>
        <v>0</v>
      </c>
    </row>
    <row r="100" hidden="1" spans="2:5" x14ac:dyDescent="0.25">
      <c r="B100" t="s">
        <v>100</v>
      </c>
      <c r="C100" s="1">
        <f>IF(E100&gt;0,E100,0)</f>
        <v>0</v>
      </c>
      <c r="D100" s="1">
        <f>IF(E100&lt;0,-E100,0)</f>
        <v>0</v>
      </c>
      <c r="E100" s="1">
        <f>IFERROR(VLOOKUP(B100,$A$235:$B$357,2,FALSE),0)</f>
        <v>0</v>
      </c>
    </row>
    <row r="101" hidden="1" spans="2:5" x14ac:dyDescent="0.25">
      <c r="B101" t="s">
        <v>101</v>
      </c>
      <c r="C101" s="1">
        <f>IF(E101&gt;0,E101,0)</f>
        <v>0</v>
      </c>
      <c r="D101" s="1">
        <f>IF(E101&lt;0,-E101,0)</f>
        <v>0</v>
      </c>
      <c r="E101" s="1">
        <f>IFERROR(VLOOKUP(B101,$A$235:$B$357,2,FALSE),0)</f>
        <v>0</v>
      </c>
    </row>
    <row r="102" spans="2:5" x14ac:dyDescent="0.25">
      <c r="B102" t="s">
        <v>102</v>
      </c>
      <c r="C102" s="1">
        <f>IF(E102&gt;0,E102,0)</f>
        <v>0</v>
      </c>
      <c r="D102" s="1">
        <f>IF(E102&lt;0,-E102,0)</f>
        <v>100</v>
      </c>
      <c r="E102" s="1">
        <f>IFERROR(VLOOKUP(B102,$A$235:$B$357,2,FALSE),0)</f>
        <v>-100</v>
      </c>
    </row>
    <row r="103" spans="2:5" x14ac:dyDescent="0.25">
      <c r="B103" t="s">
        <v>103</v>
      </c>
      <c r="C103" s="1">
        <f>IF(E103&gt;0,E103,0)</f>
        <v>0</v>
      </c>
      <c r="D103" s="1">
        <f>IF(E103&lt;0,-E103,0)</f>
        <v>204139.83000000002</v>
      </c>
      <c r="E103" s="1">
        <f>IFERROR(VLOOKUP(B103,$A$235:$B$357,2,FALSE),0)</f>
        <v>-204139.83000000002</v>
      </c>
    </row>
    <row r="104" spans="2:5" x14ac:dyDescent="0.25">
      <c r="B104" t="s">
        <v>104</v>
      </c>
      <c r="C104" s="1">
        <f>IF(E104&gt;0,E104,0)</f>
        <v>0</v>
      </c>
      <c r="D104" s="1">
        <f>IF(E104&lt;0,-E104,0)</f>
        <v>600000</v>
      </c>
      <c r="E104" s="1">
        <f>IFERROR(VLOOKUP(B104,$A$235:$B$357,2,FALSE),0)</f>
        <v>-600000</v>
      </c>
    </row>
    <row r="105" hidden="1" spans="2:5" x14ac:dyDescent="0.25">
      <c r="B105" t="s">
        <v>105</v>
      </c>
      <c r="C105" s="1">
        <f>IF(E105&gt;0,E105,0)</f>
        <v>0</v>
      </c>
      <c r="D105" s="1">
        <f>IF(E105&lt;0,-E105,0)</f>
        <v>0</v>
      </c>
      <c r="E105" s="1">
        <f>IFERROR(VLOOKUP(B105,$A$235:$B$357,2,FALSE),0)</f>
        <v>0</v>
      </c>
    </row>
    <row r="106" hidden="1" spans="2:5" x14ac:dyDescent="0.25">
      <c r="B106" t="s">
        <v>106</v>
      </c>
      <c r="C106" s="1">
        <f>IF(E106&gt;0,E106,0)</f>
        <v>0</v>
      </c>
      <c r="D106" s="1">
        <f>IF(E106&lt;0,-E106,0)</f>
        <v>0</v>
      </c>
      <c r="E106" s="1">
        <f>IFERROR(VLOOKUP(B106,$A$235:$B$357,2,FALSE),0)</f>
        <v>0</v>
      </c>
    </row>
    <row r="107" hidden="1" spans="2:5" x14ac:dyDescent="0.25">
      <c r="B107" t="s">
        <v>107</v>
      </c>
      <c r="C107" s="1">
        <f>IF(E107&gt;0,E107,0)</f>
        <v>0</v>
      </c>
      <c r="D107" s="1">
        <f>IF(E107&lt;0,-E107,0)</f>
        <v>0</v>
      </c>
      <c r="E107" s="1">
        <f>IFERROR(VLOOKUP(B107,$A$235:$B$357,2,FALSE),0)</f>
        <v>0</v>
      </c>
    </row>
    <row r="108" spans="2:5" x14ac:dyDescent="0.25">
      <c r="B108" t="s">
        <v>108</v>
      </c>
      <c r="C108" s="1">
        <f>IF(E108&gt;0,E108,0)</f>
        <v>0</v>
      </c>
      <c r="D108" s="1">
        <f>IF(E108&lt;0,-E108,0)</f>
        <v>3423889.65</v>
      </c>
      <c r="E108" s="1">
        <f>IFERROR(VLOOKUP(B108,$A$235:$B$357,2,FALSE),0)</f>
        <v>-3423889.65</v>
      </c>
    </row>
    <row r="109" spans="5:6" x14ac:dyDescent="0.25">
      <c r="E109" s="1">
        <f>IFERROR(VLOOKUP(B109,$A$235:$B$357,2,FALSE),0)</f>
        <v>0</v>
      </c>
      <c r="F109" s="1">
        <f>SUM(E49:E108)</f>
        <v>-182834897.82000002</v>
      </c>
    </row>
    <row r="110" spans="1:5" x14ac:dyDescent="0.25">
      <c r="A110" t="s">
        <v>109</v>
      </c>
      <c r="E110" s="1">
        <f>IFERROR(VLOOKUP(B110,$A$235:$B$357,2,FALSE),0)</f>
        <v>0</v>
      </c>
    </row>
    <row r="111" spans="2:5" x14ac:dyDescent="0.25">
      <c r="B111" t="s">
        <v>110</v>
      </c>
      <c r="C111" s="1">
        <f>IF(E111&gt;0,-E111,0)</f>
        <v>0</v>
      </c>
      <c r="D111" s="1">
        <f>IF(E111&lt;0,-E111,0)</f>
        <v>979869868.59</v>
      </c>
      <c r="E111" s="1">
        <f>IFERROR(VLOOKUP(B111,$A$235:$B$357,2,FALSE),0)</f>
        <v>-979869868.59</v>
      </c>
    </row>
    <row r="112" spans="2:5" x14ac:dyDescent="0.25">
      <c r="B112" t="s">
        <v>111</v>
      </c>
      <c r="C112" s="1">
        <f>IF(E112&gt;0,E112,0)</f>
        <v>847483042.12</v>
      </c>
      <c r="D112" s="1">
        <f>IF(E112&lt;0,-E112,0)</f>
        <v>0</v>
      </c>
      <c r="E112" s="1">
        <f>IFERROR(VLOOKUP(B112,$A$235:$B$357,2,FALSE),0)</f>
        <v>847483042.12</v>
      </c>
    </row>
    <row r="113" spans="5:6" x14ac:dyDescent="0.25">
      <c r="E113" s="1">
        <f>IFERROR(VLOOKUP(B113,$A$235:$B$357,2,FALSE),0)</f>
        <v>0</v>
      </c>
      <c r="F113" s="1">
        <f>SUM(E111:E112)</f>
        <v>-132386826.47000003</v>
      </c>
    </row>
    <row r="114" spans="1:5" x14ac:dyDescent="0.25">
      <c r="A114" t="s">
        <v>112</v>
      </c>
      <c r="E114" s="1">
        <f>IFERROR(VLOOKUP(B114,$A$235:$B$357,2,FALSE),0)</f>
        <v>0</v>
      </c>
    </row>
    <row r="115" spans="2:5" x14ac:dyDescent="0.25">
      <c r="B115" t="s">
        <v>113</v>
      </c>
      <c r="C115" s="1">
        <f>IF(E115&gt;0,E115,0)</f>
        <v>0</v>
      </c>
      <c r="D115" s="1">
        <f>IF(E115&lt;0,-E115,0)</f>
        <v>31238042.84</v>
      </c>
      <c r="E115" s="1">
        <f>IFERROR(VLOOKUP(B115,$A$235:$B$357,2,FALSE),0)</f>
        <v>-31238042.84</v>
      </c>
    </row>
    <row r="116" hidden="1" spans="2:5" x14ac:dyDescent="0.25">
      <c r="B116" t="s">
        <v>114</v>
      </c>
      <c r="C116" s="1">
        <f>IF(E116&gt;0,E116,0)</f>
        <v>0</v>
      </c>
      <c r="D116" s="1">
        <f>IF(E116&lt;0,-E116,0)</f>
        <v>0</v>
      </c>
      <c r="E116" s="1">
        <f>IFERROR(VLOOKUP(B116,$A$235:$B$357,2,FALSE),0)</f>
        <v>0</v>
      </c>
    </row>
    <row r="117" spans="2:5" x14ac:dyDescent="0.25">
      <c r="B117" t="s">
        <v>115</v>
      </c>
      <c r="C117" s="1">
        <f>IF(E117&gt;0,E117,0)</f>
        <v>0</v>
      </c>
      <c r="D117" s="1">
        <f>IF(E117&lt;0,-E117,0)</f>
        <v>6015262.33</v>
      </c>
      <c r="E117" s="1">
        <f>IFERROR(VLOOKUP(B117,$A$235:$B$357,2,FALSE),0)</f>
        <v>-6015262.33</v>
      </c>
    </row>
    <row r="118" hidden="1" spans="2:5" x14ac:dyDescent="0.25">
      <c r="B118" t="s">
        <v>116</v>
      </c>
      <c r="C118" s="1">
        <f>IF(E118&gt;0,E118,0)</f>
        <v>0</v>
      </c>
      <c r="D118" s="1">
        <f>IF(E118&lt;0,-E118,0)</f>
        <v>0</v>
      </c>
      <c r="E118" s="1">
        <f>IFERROR(VLOOKUP(B118,$A$235:$B$357,2,FALSE),0)</f>
        <v>0</v>
      </c>
    </row>
    <row r="119" hidden="1" spans="2:5" x14ac:dyDescent="0.25">
      <c r="B119" t="s">
        <v>117</v>
      </c>
      <c r="C119" s="1">
        <f>IF(E119&gt;0,E119,0)</f>
        <v>0</v>
      </c>
      <c r="D119" s="1">
        <f>IF(E119&lt;0,-E119,0)</f>
        <v>0</v>
      </c>
      <c r="E119" s="1">
        <f>IFERROR(VLOOKUP(B119,$A$235:$B$357,2,FALSE),0)</f>
        <v>0</v>
      </c>
    </row>
    <row r="120" hidden="1" spans="2:5" x14ac:dyDescent="0.25">
      <c r="B120" t="s">
        <v>118</v>
      </c>
      <c r="C120" s="1">
        <f>IF(E120&gt;0,E120,0)</f>
        <v>0</v>
      </c>
      <c r="D120" s="1">
        <f>IF(E120&lt;0,-E120,0)</f>
        <v>0</v>
      </c>
      <c r="E120" s="1">
        <f>IFERROR(VLOOKUP(B120,$A$235:$B$357,2,FALSE),0)</f>
        <v>0</v>
      </c>
    </row>
    <row r="121" hidden="1" spans="2:5" x14ac:dyDescent="0.25">
      <c r="B121" t="s">
        <v>119</v>
      </c>
      <c r="C121" s="1">
        <f>IF(E121&gt;0,E121,0)</f>
        <v>0</v>
      </c>
      <c r="D121" s="1">
        <f>IF(E121&lt;0,-E121,0)</f>
        <v>0</v>
      </c>
      <c r="E121" s="1">
        <f>IFERROR(VLOOKUP(B121,$A$235:$B$357,2,FALSE),0)</f>
        <v>0</v>
      </c>
    </row>
    <row r="122" hidden="1" spans="2:5" x14ac:dyDescent="0.25">
      <c r="B122" t="s">
        <v>114</v>
      </c>
      <c r="C122" s="1">
        <f>IF(E122&gt;0,E122,0)</f>
        <v>0</v>
      </c>
      <c r="D122" s="1">
        <f>IF(E122&lt;0,-E122,0)</f>
        <v>0</v>
      </c>
      <c r="E122" s="1">
        <f>IFERROR(VLOOKUP(B122,$A$235:$B$357,2,FALSE),0)</f>
        <v>0</v>
      </c>
    </row>
    <row r="123" hidden="1" spans="2:5" x14ac:dyDescent="0.25">
      <c r="B123" t="s">
        <v>120</v>
      </c>
      <c r="C123" s="1">
        <f>IF(E123&gt;0,E123,0)</f>
        <v>0</v>
      </c>
      <c r="D123" s="1">
        <f>IF(E123&lt;0,-E123,0)</f>
        <v>0</v>
      </c>
      <c r="E123" s="1">
        <f>IFERROR(VLOOKUP(B123,$A$235:$B$357,2,FALSE),0)</f>
        <v>0</v>
      </c>
    </row>
    <row r="124" spans="2:5" x14ac:dyDescent="0.25">
      <c r="B124" t="s">
        <v>121</v>
      </c>
      <c r="C124" s="1">
        <f>IF(E124&gt;0,E124,0)</f>
        <v>672542.18</v>
      </c>
      <c r="D124" s="1">
        <f>IF(E124&lt;0,-E124,0)</f>
        <v>0</v>
      </c>
      <c r="E124" s="1">
        <f>IFERROR(VLOOKUP(B124,$A$235:$B$357,2,FALSE),0)</f>
        <v>672542.18</v>
      </c>
    </row>
    <row r="125" spans="2:5" x14ac:dyDescent="0.25">
      <c r="B125" t="s">
        <v>122</v>
      </c>
      <c r="C125" s="1">
        <f>IF(E125&gt;0,E125,0)</f>
        <v>197769378.93</v>
      </c>
      <c r="D125" s="1">
        <f>IF(E125&lt;0,-E125,0)</f>
        <v>0</v>
      </c>
      <c r="E125" s="1">
        <f>IFERROR(VLOOKUP(B125,$A$235:$B$357,2,FALSE),0)</f>
        <v>197769378.93</v>
      </c>
    </row>
    <row r="126" spans="2:5" x14ac:dyDescent="0.25">
      <c r="B126" t="s">
        <v>123</v>
      </c>
      <c r="C126" s="1">
        <f>IF(E126&gt;0,E126,0)</f>
        <v>33850774.18</v>
      </c>
      <c r="D126" s="1">
        <f>IF(E126&lt;0,-E126,0)</f>
        <v>0</v>
      </c>
      <c r="E126" s="1">
        <f>IFERROR(VLOOKUP(B126,$A$235:$B$357,2,FALSE),0)</f>
        <v>33850774.18</v>
      </c>
    </row>
    <row r="127" spans="2:5" x14ac:dyDescent="0.25">
      <c r="B127" t="s">
        <v>124</v>
      </c>
      <c r="C127" s="1">
        <f>IF(E127&gt;0,E127,0)</f>
        <v>521371.32</v>
      </c>
      <c r="D127" s="1">
        <f>IF(E127&lt;0,-E127,0)</f>
        <v>0</v>
      </c>
      <c r="E127" s="1">
        <f>IFERROR(VLOOKUP(B127,$A$235:$B$357,2,FALSE),0)</f>
        <v>521371.32</v>
      </c>
    </row>
    <row r="128" spans="2:5" x14ac:dyDescent="0.25">
      <c r="B128" t="s">
        <v>125</v>
      </c>
      <c r="C128" s="1">
        <f>IF(E128&gt;0,E128,0)</f>
        <v>61269167.47</v>
      </c>
      <c r="D128" s="1">
        <f>IF(E128&lt;0,-E128,0)</f>
        <v>0</v>
      </c>
      <c r="E128" s="1">
        <f>IFERROR(VLOOKUP(B128,$A$235:$B$357,2,FALSE),0)</f>
        <v>61269167.47</v>
      </c>
    </row>
    <row r="129" hidden="1" spans="2:5" x14ac:dyDescent="0.25">
      <c r="B129" t="s">
        <v>126</v>
      </c>
      <c r="C129" s="1">
        <f>IF(E129&gt;0,E129,0)</f>
        <v>0</v>
      </c>
      <c r="D129" s="1">
        <f>IF(E129&lt;0,-E129,0)</f>
        <v>0</v>
      </c>
      <c r="E129" s="1">
        <f>IFERROR(VLOOKUP(B129,$A$235:$B$357,2,FALSE),0)</f>
        <v>0</v>
      </c>
    </row>
    <row r="130" hidden="1" spans="2:5" x14ac:dyDescent="0.25">
      <c r="B130" t="s">
        <v>127</v>
      </c>
      <c r="C130" s="1">
        <f>IF(E130&gt;0,E130,0)</f>
        <v>0</v>
      </c>
      <c r="D130" s="1">
        <f>IF(E130&lt;0,-E130,0)</f>
        <v>0</v>
      </c>
      <c r="E130" s="1">
        <f>IFERROR(VLOOKUP(B130,$A$235:$B$357,2,FALSE),0)</f>
        <v>0</v>
      </c>
    </row>
    <row r="131" hidden="1" spans="2:5" x14ac:dyDescent="0.25">
      <c r="B131" t="s">
        <v>128</v>
      </c>
      <c r="C131" s="1">
        <f>IF(E131&gt;0,E131,0)</f>
        <v>0</v>
      </c>
      <c r="D131" s="1">
        <f>IF(E131&lt;0,-E131,0)</f>
        <v>0</v>
      </c>
      <c r="E131" s="1">
        <f>IFERROR(VLOOKUP(B131,$A$235:$B$357,2,FALSE),0)</f>
        <v>0</v>
      </c>
    </row>
    <row r="132" hidden="1" spans="2:5" x14ac:dyDescent="0.25">
      <c r="B132" t="s">
        <v>129</v>
      </c>
      <c r="C132" s="1">
        <f>IF(E132&gt;0,E132,0)</f>
        <v>0</v>
      </c>
      <c r="D132" s="1">
        <f>IF(E132&lt;0,-E132,0)</f>
        <v>0</v>
      </c>
      <c r="E132" s="1">
        <f>IFERROR(VLOOKUP(B132,$A$235:$B$357,2,FALSE),0)</f>
        <v>0</v>
      </c>
    </row>
    <row r="133" hidden="1" spans="2:5" x14ac:dyDescent="0.25">
      <c r="B133" t="s">
        <v>130</v>
      </c>
      <c r="C133" s="1">
        <f>IF(E133&gt;0,E133,0)</f>
        <v>0</v>
      </c>
      <c r="D133" s="1">
        <f>IF(E133&lt;0,-E133,0)</f>
        <v>0</v>
      </c>
      <c r="E133" s="1">
        <f>IFERROR(VLOOKUP(B133,$A$235:$B$357,2,FALSE),0)</f>
        <v>0</v>
      </c>
    </row>
    <row r="134" hidden="1" spans="2:5" x14ac:dyDescent="0.25">
      <c r="B134" t="s">
        <v>131</v>
      </c>
      <c r="C134" s="1">
        <f>IF(E134&gt;0,E134,0)</f>
        <v>0</v>
      </c>
      <c r="D134" s="1">
        <f>IF(E134&lt;0,-E134,0)</f>
        <v>0</v>
      </c>
      <c r="E134" s="1">
        <f>IFERROR(VLOOKUP(B134,$A$235:$B$357,2,FALSE),0)</f>
        <v>0</v>
      </c>
    </row>
    <row r="135" hidden="1" spans="2:5" x14ac:dyDescent="0.25">
      <c r="B135" t="s">
        <v>132</v>
      </c>
      <c r="C135" s="1">
        <f>IF(E135&gt;0,E135,0)</f>
        <v>0</v>
      </c>
      <c r="D135" s="1">
        <f>IF(E135&lt;0,-E135,0)</f>
        <v>0</v>
      </c>
      <c r="E135" s="1">
        <f>IFERROR(VLOOKUP(B135,$A$235:$B$357,2,FALSE),0)</f>
        <v>0</v>
      </c>
    </row>
    <row r="136" hidden="1" spans="2:5" x14ac:dyDescent="0.25">
      <c r="B136" t="s">
        <v>133</v>
      </c>
      <c r="C136" s="1">
        <f>IF(E136&gt;0,E136,0)</f>
        <v>0</v>
      </c>
      <c r="D136" s="1">
        <f>IF(E136&lt;0,-E136,0)</f>
        <v>0</v>
      </c>
      <c r="E136" s="1">
        <f>IFERROR(VLOOKUP(B136,$A$235:$B$357,2,FALSE),0)</f>
        <v>0</v>
      </c>
    </row>
    <row r="137" spans="2:5" x14ac:dyDescent="0.25">
      <c r="B137" t="s">
        <v>134</v>
      </c>
      <c r="C137" s="1">
        <f>IF(E137&gt;0,E137,0)</f>
        <v>7958700</v>
      </c>
      <c r="D137" s="1">
        <f>IF(E137&lt;0,-E137,0)</f>
        <v>0</v>
      </c>
      <c r="E137" s="1">
        <f>IFERROR(VLOOKUP(B137,$A$235:$B$357,2,FALSE),0)</f>
        <v>7958700</v>
      </c>
    </row>
    <row r="138" hidden="1" spans="2:5" x14ac:dyDescent="0.25">
      <c r="B138" t="s">
        <v>135</v>
      </c>
      <c r="C138" s="1">
        <f>IF(E138&gt;0,E138,0)</f>
        <v>0</v>
      </c>
      <c r="D138" s="1">
        <f>IF(E138&lt;0,-E138,0)</f>
        <v>0</v>
      </c>
      <c r="E138" s="1">
        <f>IFERROR(VLOOKUP(B138,$A$235:$B$357,2,FALSE),0)</f>
        <v>0</v>
      </c>
    </row>
    <row r="139" hidden="1" spans="2:5" x14ac:dyDescent="0.25">
      <c r="B139" t="s">
        <v>136</v>
      </c>
      <c r="C139" s="1">
        <f>IF(E139&gt;0,E139,0)</f>
        <v>0</v>
      </c>
      <c r="D139" s="1">
        <f>IF(E139&lt;0,-E139,0)</f>
        <v>0</v>
      </c>
      <c r="E139" s="1">
        <f>IFERROR(VLOOKUP(B139,$A$235:$B$357,2,FALSE),0)</f>
        <v>0</v>
      </c>
    </row>
    <row r="140" hidden="1" spans="2:5" x14ac:dyDescent="0.25">
      <c r="B140" t="s">
        <v>137</v>
      </c>
      <c r="C140" s="1">
        <f>IF(E140&gt;0,E140,0)</f>
        <v>0</v>
      </c>
      <c r="D140" s="1">
        <f>IF(E140&lt;0,-E140,0)</f>
        <v>0</v>
      </c>
      <c r="E140" s="1">
        <f>IFERROR(VLOOKUP(B140,$A$235:$B$357,2,FALSE),0)</f>
        <v>0</v>
      </c>
    </row>
    <row r="141" hidden="1" spans="2:5" x14ac:dyDescent="0.25">
      <c r="B141" t="s">
        <v>138</v>
      </c>
      <c r="C141" s="1">
        <f>IF(E141&gt;0,E141,0)</f>
        <v>0</v>
      </c>
      <c r="D141" s="1">
        <f>IF(E141&lt;0,-E141,0)</f>
        <v>0</v>
      </c>
      <c r="E141" s="1">
        <f>IFERROR(VLOOKUP(B141,$A$235:$B$357,2,FALSE),0)</f>
        <v>0</v>
      </c>
    </row>
    <row r="142" hidden="1" spans="2:5" x14ac:dyDescent="0.25">
      <c r="B142" t="s">
        <v>139</v>
      </c>
      <c r="C142" s="1">
        <f>IF(E142&gt;0,E142,0)</f>
        <v>0</v>
      </c>
      <c r="D142" s="1">
        <f>IF(E142&lt;0,-E142,0)</f>
        <v>0</v>
      </c>
      <c r="E142" s="1">
        <f>IFERROR(VLOOKUP(B142,$A$235:$B$357,2,FALSE),0)</f>
        <v>0</v>
      </c>
    </row>
    <row r="143" hidden="1" spans="3:5" x14ac:dyDescent="0.25">
      <c r="C143" s="1">
        <f>IF(E143&gt;0,E143,0)</f>
        <v>0</v>
      </c>
      <c r="D143" s="1">
        <f>IF(E143&lt;0,-E143,0)</f>
        <v>0</v>
      </c>
      <c r="E143" s="1">
        <f>IFERROR(VLOOKUP(B143,$A$235:$B$357,2,FALSE),0)</f>
        <v>0</v>
      </c>
    </row>
    <row r="144" hidden="1" spans="2:5" x14ac:dyDescent="0.25">
      <c r="B144" t="s">
        <v>140</v>
      </c>
      <c r="C144" s="1">
        <f>IF(E144&gt;0,E144,0)</f>
        <v>0</v>
      </c>
      <c r="D144" s="1">
        <f>IF(E144&lt;0,-E144,0)</f>
        <v>0</v>
      </c>
      <c r="E144" s="1">
        <f>IFERROR(VLOOKUP(B144,$A$235:$B$357,2,FALSE),0)</f>
        <v>0</v>
      </c>
    </row>
    <row r="145" hidden="1" spans="2:5" x14ac:dyDescent="0.25">
      <c r="B145" t="s">
        <v>141</v>
      </c>
      <c r="C145" s="1">
        <f>IF(E145&gt;0,E145,0)</f>
        <v>0</v>
      </c>
      <c r="D145" s="1">
        <f>IF(E145&lt;0,-E145,0)</f>
        <v>0</v>
      </c>
      <c r="E145" s="1">
        <f>IFERROR(VLOOKUP(B145,$A$235:$B$357,2,FALSE),0)</f>
        <v>0</v>
      </c>
    </row>
    <row r="146" hidden="1" spans="2:5" x14ac:dyDescent="0.25">
      <c r="B146" t="s">
        <v>142</v>
      </c>
      <c r="C146" s="1">
        <f>IF(E146&gt;0,E146,0)</f>
        <v>0</v>
      </c>
      <c r="D146" s="1">
        <f>IF(E146&lt;0,-E146,0)</f>
        <v>0</v>
      </c>
      <c r="E146" s="1">
        <f>IFERROR(VLOOKUP(B146,$A$235:$B$357,2,FALSE),0)</f>
        <v>0</v>
      </c>
    </row>
    <row r="147" hidden="1" spans="2:5" x14ac:dyDescent="0.25">
      <c r="B147" t="s">
        <v>143</v>
      </c>
      <c r="C147" s="1">
        <f>IF(E147&gt;0,E147,0)</f>
        <v>0</v>
      </c>
      <c r="D147" s="1">
        <f>IF(E147&lt;0,-E147,0)</f>
        <v>0</v>
      </c>
      <c r="E147" s="1">
        <f>IFERROR(VLOOKUP(B147,$A$235:$B$357,2,FALSE),0)</f>
        <v>0</v>
      </c>
    </row>
    <row r="148" spans="2:5" x14ac:dyDescent="0.25">
      <c r="B148" t="s">
        <v>144</v>
      </c>
      <c r="C148" s="1">
        <f>IF(E148&gt;0,E148,0)</f>
        <v>383019.22000000003</v>
      </c>
      <c r="D148" s="1">
        <f>IF(E148&lt;0,-E148,0)</f>
        <v>0</v>
      </c>
      <c r="E148" s="1">
        <f>IFERROR(VLOOKUP(B148,$A$235:$B$357,2,FALSE),0)</f>
        <v>383019.22000000003</v>
      </c>
    </row>
    <row r="149" spans="2:5" x14ac:dyDescent="0.25">
      <c r="B149" t="s">
        <v>145</v>
      </c>
      <c r="C149" s="1">
        <f>IF(E149&gt;0,E149,0)</f>
        <v>17397088.29</v>
      </c>
      <c r="D149" s="1">
        <f>IF(E149&lt;0,-E149,0)</f>
        <v>0</v>
      </c>
      <c r="E149" s="1">
        <f>IFERROR(VLOOKUP(B149,$A$235:$B$357,2,FALSE),0)</f>
        <v>17397088.29</v>
      </c>
    </row>
    <row r="150" hidden="1" spans="2:5" x14ac:dyDescent="0.25">
      <c r="B150" t="s">
        <v>146</v>
      </c>
      <c r="C150" s="1">
        <f>IF(E150&gt;0,E150,0)</f>
        <v>0</v>
      </c>
      <c r="D150" s="1">
        <f>IF(E150&lt;0,-E150,0)</f>
        <v>0</v>
      </c>
      <c r="E150" s="1">
        <f>IFERROR(VLOOKUP(B150,$A$235:$B$357,2,FALSE),0)</f>
        <v>0</v>
      </c>
    </row>
    <row r="151" spans="2:5" x14ac:dyDescent="0.25">
      <c r="B151" t="s">
        <v>147</v>
      </c>
      <c r="C151" s="1">
        <f>IF(E151&gt;0,E151,0)</f>
        <v>1228669.4000000001</v>
      </c>
      <c r="D151" s="1">
        <f>IF(E151&lt;0,-E151,0)</f>
        <v>0</v>
      </c>
      <c r="E151" s="1">
        <f>IFERROR(VLOOKUP(B151,$A$235:$B$357,2,FALSE),0)</f>
        <v>1228669.4000000001</v>
      </c>
    </row>
    <row r="152" hidden="1" spans="2:5" x14ac:dyDescent="0.25">
      <c r="B152" t="s">
        <v>148</v>
      </c>
      <c r="C152" s="1">
        <f>IF(E152&gt;0,E152,0)</f>
        <v>0</v>
      </c>
      <c r="D152" s="1">
        <f>IF(E152&lt;0,-E152,0)</f>
        <v>0</v>
      </c>
      <c r="E152" s="1">
        <f>IFERROR(VLOOKUP(B152,$A$235:$B$357,2,FALSE),0)</f>
        <v>0</v>
      </c>
    </row>
    <row r="153" hidden="1" spans="2:5" x14ac:dyDescent="0.25">
      <c r="B153" t="s">
        <v>149</v>
      </c>
      <c r="C153" s="1">
        <f>IF(E153&gt;0,E153,0)</f>
        <v>0</v>
      </c>
      <c r="D153" s="1">
        <f>IF(E153&lt;0,-E153,0)</f>
        <v>0</v>
      </c>
      <c r="E153" s="1">
        <f>IFERROR(VLOOKUP(B153,$A$235:$B$357,2,FALSE),0)</f>
        <v>0</v>
      </c>
    </row>
    <row r="154" spans="2:5" x14ac:dyDescent="0.25">
      <c r="B154" t="s">
        <v>150</v>
      </c>
      <c r="C154" s="1">
        <f>IF(E154&gt;0,E154,0)</f>
        <v>1379539</v>
      </c>
      <c r="D154" s="1">
        <f>IF(E154&lt;0,-E154,0)</f>
        <v>0</v>
      </c>
      <c r="E154" s="1">
        <f>IFERROR(VLOOKUP(B154,$A$235:$B$357,2,FALSE),0)</f>
        <v>1379539</v>
      </c>
    </row>
    <row r="155" hidden="1" spans="1:5" x14ac:dyDescent="0.25">
      <c r="A155" t="s">
        <v>68</v>
      </c>
      <c r="B155" t="s">
        <v>151</v>
      </c>
      <c r="C155" s="1">
        <f>IF(E155&gt;0,E155,0)</f>
        <v>0</v>
      </c>
      <c r="D155" s="1">
        <f>IF(E155&lt;0,-E155,0)</f>
        <v>0</v>
      </c>
      <c r="E155" s="1">
        <f>IFERROR(VLOOKUP(B155,$A$235:$B$357,2,FALSE),0)</f>
        <v>0</v>
      </c>
    </row>
    <row r="156" hidden="1" spans="2:5" x14ac:dyDescent="0.25">
      <c r="B156" t="s">
        <v>152</v>
      </c>
      <c r="C156" s="1">
        <f>IF(E156&gt;0,E156,0)</f>
        <v>0</v>
      </c>
      <c r="D156" s="1">
        <f>IF(E156&lt;0,-E156,0)</f>
        <v>0</v>
      </c>
      <c r="E156" s="1">
        <f>IFERROR(VLOOKUP(B156,$A$235:$B$357,2,FALSE),0)</f>
        <v>0</v>
      </c>
    </row>
    <row r="157" hidden="1" spans="2:5" x14ac:dyDescent="0.25">
      <c r="B157" t="s">
        <v>153</v>
      </c>
      <c r="C157" s="1">
        <f>IF(E157&gt;0,E157,0)</f>
        <v>0</v>
      </c>
      <c r="D157" s="1">
        <f>IF(E157&lt;0,-E157,0)</f>
        <v>0</v>
      </c>
      <c r="E157" s="1">
        <f>IFERROR(VLOOKUP(B157,$A$235:$B$357,2,FALSE),0)</f>
        <v>0</v>
      </c>
    </row>
    <row r="158" spans="2:5" x14ac:dyDescent="0.25">
      <c r="B158" t="s">
        <v>154</v>
      </c>
      <c r="C158" s="1">
        <f>IF(E158&gt;0,E158,0)</f>
        <v>55100</v>
      </c>
      <c r="D158" s="1">
        <f>IF(E158&lt;0,-E158,0)</f>
        <v>0</v>
      </c>
      <c r="E158" s="1">
        <f>IFERROR(VLOOKUP(B158,$A$235:$B$357,2,FALSE),0)</f>
        <v>55100</v>
      </c>
    </row>
    <row r="159" spans="2:5" x14ac:dyDescent="0.25">
      <c r="B159" t="s">
        <v>155</v>
      </c>
      <c r="C159" s="1">
        <f>IF(E159&gt;0,E159,0)</f>
        <v>35288139.89</v>
      </c>
      <c r="D159" s="1">
        <f>IF(E159&lt;0,-E159,0)</f>
        <v>0</v>
      </c>
      <c r="E159" s="1">
        <f>IFERROR(VLOOKUP(B159,$A$235:$B$357,2,FALSE),0)</f>
        <v>35288139.89</v>
      </c>
    </row>
    <row r="160" spans="2:5" x14ac:dyDescent="0.25">
      <c r="B160" t="s">
        <v>156</v>
      </c>
      <c r="C160" s="1">
        <f>IF(E160&gt;0,E160,0)</f>
        <v>1887708</v>
      </c>
      <c r="D160" s="1">
        <f>IF(E160&lt;0,-E160,0)</f>
        <v>0</v>
      </c>
      <c r="E160" s="1">
        <f>IFERROR(VLOOKUP(B160,$A$235:$B$357,2,FALSE),0)</f>
        <v>1887708</v>
      </c>
    </row>
    <row r="161" hidden="1" spans="2:5" x14ac:dyDescent="0.25">
      <c r="B161" t="s">
        <v>157</v>
      </c>
      <c r="C161" s="1">
        <f>IF(E161&gt;0,E161,0)</f>
        <v>0</v>
      </c>
      <c r="D161" s="1">
        <f>IF(E161&lt;0,-E161,0)</f>
        <v>0</v>
      </c>
      <c r="E161" s="1">
        <f>IFERROR(VLOOKUP(B161,$A$235:$B$357,2,FALSE),0)</f>
        <v>0</v>
      </c>
    </row>
    <row r="162" spans="2:5" x14ac:dyDescent="0.25">
      <c r="B162" t="s">
        <v>158</v>
      </c>
      <c r="C162" s="1">
        <f>IF(E162&gt;0,E162,0)</f>
        <v>8580298.42</v>
      </c>
      <c r="D162" s="1">
        <f>IF(E162&lt;0,-E162,0)</f>
        <v>0</v>
      </c>
      <c r="E162" s="1">
        <f>IFERROR(VLOOKUP(B162,$A$235:$B$357,2,FALSE),0)</f>
        <v>8580298.42</v>
      </c>
    </row>
    <row r="163" hidden="1" spans="2:5" x14ac:dyDescent="0.25">
      <c r="B163" t="s">
        <v>159</v>
      </c>
      <c r="C163" s="1">
        <f>IF(E163&gt;0,E163,0)</f>
        <v>0</v>
      </c>
      <c r="D163" s="1">
        <f>IF(E163&lt;0,-E163,0)</f>
        <v>0</v>
      </c>
      <c r="E163" s="1">
        <f>IFERROR(VLOOKUP(B163,$A$235:$B$357,2,FALSE),0)</f>
        <v>0</v>
      </c>
    </row>
    <row r="164" spans="2:5" x14ac:dyDescent="0.25">
      <c r="B164" t="s">
        <v>160</v>
      </c>
      <c r="C164" s="1">
        <f>IF(E164&gt;0,E164,0)</f>
        <v>77279850.76</v>
      </c>
      <c r="D164" s="1">
        <f>IF(E164&lt;0,-E164,0)</f>
        <v>0</v>
      </c>
      <c r="E164" s="1">
        <f>IFERROR(VLOOKUP(B164,$A$235:$B$357,2,FALSE),0)</f>
        <v>77279850.76</v>
      </c>
    </row>
    <row r="165" spans="2:5" x14ac:dyDescent="0.25">
      <c r="B165" t="s">
        <v>161</v>
      </c>
      <c r="C165" s="1">
        <f>IF(E165&gt;0,E165,0)</f>
        <v>0</v>
      </c>
      <c r="D165" s="1">
        <f>IF(E165&lt;0,-E165,0)</f>
        <v>957215.29</v>
      </c>
      <c r="E165" s="1">
        <f>IFERROR(VLOOKUP(B165,$A$235:$B$357,2,FALSE),0)</f>
        <v>-957215.29</v>
      </c>
    </row>
    <row r="166" hidden="1" spans="2:5" x14ac:dyDescent="0.25">
      <c r="B166" t="s">
        <v>162</v>
      </c>
      <c r="C166" s="1">
        <f>IF(E166&gt;0,E166,0)</f>
        <v>0</v>
      </c>
      <c r="D166" s="1">
        <f>IF(E166&lt;0,-E166,0)</f>
        <v>0</v>
      </c>
      <c r="E166" s="1">
        <f>IFERROR(VLOOKUP(B166,$A$235:$B$357,2,FALSE),0)</f>
        <v>0</v>
      </c>
    </row>
    <row r="167" hidden="1" spans="2:5" x14ac:dyDescent="0.25">
      <c r="B167" t="s">
        <v>163</v>
      </c>
      <c r="C167" s="1">
        <f>IF(E167&gt;0,E167,0)</f>
        <v>0</v>
      </c>
      <c r="D167" s="1">
        <f>IF(E167&lt;0,-E167,0)</f>
        <v>0</v>
      </c>
      <c r="E167" s="1">
        <f>IFERROR(VLOOKUP(B167,$A$235:$B$357,2,FALSE),0)</f>
        <v>0</v>
      </c>
    </row>
    <row r="168" spans="2:5" x14ac:dyDescent="0.25">
      <c r="B168" t="s">
        <v>164</v>
      </c>
      <c r="C168" s="1">
        <f>IF(E168&gt;0,E168,0)</f>
        <v>110838611.65</v>
      </c>
      <c r="D168" s="1">
        <f>IF(E168&lt;0,-E168,0)</f>
        <v>0</v>
      </c>
      <c r="E168" s="1">
        <f>IFERROR(VLOOKUP(B168,$A$235:$B$357,2,FALSE),0)</f>
        <v>110838611.65</v>
      </c>
    </row>
    <row r="169" hidden="1" spans="2:5" x14ac:dyDescent="0.25">
      <c r="B169" t="s">
        <v>165</v>
      </c>
      <c r="C169" s="1">
        <f>IF(E169&gt;0,E169,0)</f>
        <v>0</v>
      </c>
      <c r="D169" s="1">
        <f>IF(E169&lt;0,-E169,0)</f>
        <v>0</v>
      </c>
      <c r="E169" s="1">
        <f>IFERROR(VLOOKUP(B169,$A$235:$B$357,2,FALSE),0)</f>
        <v>0</v>
      </c>
    </row>
    <row r="170" hidden="1" spans="2:5" x14ac:dyDescent="0.25">
      <c r="B170" t="s">
        <v>166</v>
      </c>
      <c r="C170" s="1">
        <f>IF(E170&gt;0,E170,0)</f>
        <v>0</v>
      </c>
      <c r="D170" s="1">
        <f>IF(E170&lt;0,-E170,0)</f>
        <v>0</v>
      </c>
      <c r="E170" s="1">
        <f>IFERROR(VLOOKUP(B170,$A$235:$B$357,2,FALSE),0)</f>
        <v>0</v>
      </c>
    </row>
    <row r="171" spans="2:5" x14ac:dyDescent="0.25">
      <c r="B171" t="s">
        <v>167</v>
      </c>
      <c r="C171" s="1">
        <f>IF(E171&gt;0,E171,0)</f>
        <v>5082689.600000001</v>
      </c>
      <c r="D171" s="1">
        <f>IF(E171&lt;0,-E171,0)</f>
        <v>0</v>
      </c>
      <c r="E171" s="1">
        <f>IFERROR(VLOOKUP(B171,$A$235:$B$357,2,FALSE),0)</f>
        <v>5082689.600000001</v>
      </c>
    </row>
    <row r="172" hidden="1" spans="2:5" x14ac:dyDescent="0.25">
      <c r="B172" t="s">
        <v>168</v>
      </c>
      <c r="C172" s="1">
        <f>IF(E172&gt;0,E172,0)</f>
        <v>0</v>
      </c>
      <c r="D172" s="1">
        <f>IF(E172&lt;0,-E172,0)</f>
        <v>0</v>
      </c>
      <c r="E172" s="1">
        <f>IFERROR(VLOOKUP(B172,$A$235:$B$357,2,FALSE),0)</f>
        <v>0</v>
      </c>
    </row>
    <row r="173" hidden="1" spans="2:5" x14ac:dyDescent="0.25">
      <c r="B173" t="s">
        <v>169</v>
      </c>
      <c r="C173" s="1">
        <f>IF(E173&gt;0,E173,0)</f>
        <v>0</v>
      </c>
      <c r="D173" s="1">
        <f>IF(E173&lt;0,-E173,0)</f>
        <v>0</v>
      </c>
      <c r="E173" s="1">
        <f>IFERROR(VLOOKUP(B173,$A$235:$B$357,2,FALSE),0)</f>
        <v>0</v>
      </c>
    </row>
    <row r="174" spans="2:5" x14ac:dyDescent="0.25">
      <c r="B174" t="s">
        <v>170</v>
      </c>
      <c r="C174" s="1">
        <f>IF(E174&gt;0,E174,0)</f>
        <v>671541.29</v>
      </c>
      <c r="D174" s="1">
        <f>IF(E174&lt;0,-E174,0)</f>
        <v>0</v>
      </c>
      <c r="E174" s="1">
        <f>IFERROR(VLOOKUP(B174,$A$235:$B$357,2,FALSE),0)</f>
        <v>671541.29</v>
      </c>
    </row>
    <row r="175" spans="2:5" x14ac:dyDescent="0.25">
      <c r="B175" t="s">
        <v>171</v>
      </c>
      <c r="C175" s="1">
        <f>IF(E175&gt;0,E175,0)</f>
        <v>150000</v>
      </c>
      <c r="D175" s="1">
        <f>IF(E175&lt;0,-E175,0)</f>
        <v>0</v>
      </c>
      <c r="E175" s="1">
        <f>IFERROR(VLOOKUP(B175,$A$235:$B$357,2,FALSE),0)</f>
        <v>150000</v>
      </c>
    </row>
    <row r="176" hidden="1" spans="2:5" x14ac:dyDescent="0.25">
      <c r="B176" t="s">
        <v>172</v>
      </c>
      <c r="C176" s="1">
        <f>IF(E176&gt;0,E176,0)</f>
        <v>0</v>
      </c>
      <c r="D176" s="1">
        <f>IF(E176&lt;0,-E176,0)</f>
        <v>0</v>
      </c>
      <c r="E176" s="1">
        <f>IFERROR(VLOOKUP(B176,$A$235:$B$357,2,FALSE),0)</f>
        <v>0</v>
      </c>
    </row>
    <row r="177" spans="2:5" x14ac:dyDescent="0.25">
      <c r="B177" t="s">
        <v>173</v>
      </c>
      <c r="C177" s="1">
        <f>IF(E177&gt;0,E177,0)</f>
        <v>321043.66000000003</v>
      </c>
      <c r="D177" s="1">
        <f>IF(E177&lt;0,-E177,0)</f>
        <v>0</v>
      </c>
      <c r="E177" s="1">
        <f>IFERROR(VLOOKUP(B177,$A$235:$B$357,2,FALSE),0)</f>
        <v>321043.66000000003</v>
      </c>
    </row>
    <row r="178" spans="2:5" x14ac:dyDescent="0.25">
      <c r="B178" t="s">
        <v>174</v>
      </c>
      <c r="C178" s="1">
        <f>IF(E178&gt;0,E178,0)</f>
        <v>217000</v>
      </c>
      <c r="D178" s="1">
        <f>IF(E178&lt;0,-E178,0)</f>
        <v>0</v>
      </c>
      <c r="E178" s="1">
        <f>IFERROR(VLOOKUP(B178,$A$235:$B$357,2,FALSE),0)</f>
        <v>217000</v>
      </c>
    </row>
    <row r="179" hidden="1" spans="2:5" x14ac:dyDescent="0.25">
      <c r="B179" t="s">
        <v>175</v>
      </c>
      <c r="C179" s="1">
        <f>IF(E179&gt;0,E179,0)</f>
        <v>0</v>
      </c>
      <c r="D179" s="1">
        <f>IF(E179&lt;0,-E179,0)</f>
        <v>0</v>
      </c>
      <c r="E179" s="1">
        <f>IFERROR(VLOOKUP(B179,$A$235:$B$357,2,FALSE),0)</f>
        <v>0</v>
      </c>
    </row>
    <row r="180" hidden="1" spans="4:5" x14ac:dyDescent="0.25">
      <c r="D180" s="1">
        <f>IF(E180&lt;0,-E180,0)</f>
        <v>0</v>
      </c>
      <c r="E180" s="1">
        <f>IFERROR(VLOOKUP(B180,$A$235:$B$357,2,FALSE),0)</f>
        <v>0</v>
      </c>
    </row>
    <row r="181" hidden="1" spans="2:5" x14ac:dyDescent="0.25">
      <c r="B181" t="s">
        <v>176</v>
      </c>
      <c r="C181" s="1">
        <f>IF(E181&gt;0,E181,0)</f>
        <v>0</v>
      </c>
      <c r="D181" s="1">
        <f>IF(E181&lt;0,-E181,0)</f>
        <v>0</v>
      </c>
      <c r="E181" s="1">
        <f>IFERROR(VLOOKUP(B181,$A$235:$B$357,2,FALSE),0)</f>
        <v>0</v>
      </c>
    </row>
    <row r="182" hidden="1" spans="2:5" x14ac:dyDescent="0.25">
      <c r="B182" t="s">
        <v>177</v>
      </c>
      <c r="C182" s="1">
        <f>IF(E182&gt;0,E182,0)</f>
        <v>0</v>
      </c>
      <c r="D182" s="1">
        <f>IF(E182&lt;0,-E182,0)</f>
        <v>0</v>
      </c>
      <c r="E182" s="1">
        <f>IFERROR(VLOOKUP(B182,$A$235:$B$357,2,FALSE),0)</f>
        <v>0</v>
      </c>
    </row>
    <row r="183" spans="2:5" x14ac:dyDescent="0.25">
      <c r="B183" t="s">
        <v>178</v>
      </c>
      <c r="C183" s="1">
        <f>IF(E183&gt;0,E183,0)</f>
        <v>873100</v>
      </c>
      <c r="D183" s="1">
        <f>IF(E183&lt;0,-E183,0)</f>
        <v>0</v>
      </c>
      <c r="E183" s="1">
        <f>IFERROR(VLOOKUP(B183,$A$235:$B$357,2,FALSE),0)</f>
        <v>873100</v>
      </c>
    </row>
    <row r="184" spans="2:5" x14ac:dyDescent="0.25">
      <c r="B184" t="s">
        <v>179</v>
      </c>
      <c r="C184" s="1">
        <f>IF(E184&gt;0,E184,0)</f>
        <v>219472.57</v>
      </c>
      <c r="D184" s="1">
        <f>IF(E184&lt;0,-E184,0)</f>
        <v>0</v>
      </c>
      <c r="E184" s="1">
        <f>IFERROR(VLOOKUP(B184,$A$235:$B$357,2,FALSE),0)</f>
        <v>219472.57</v>
      </c>
    </row>
    <row r="185" spans="2:5" x14ac:dyDescent="0.25">
      <c r="B185" t="s">
        <v>180</v>
      </c>
      <c r="C185" s="1">
        <f>IF(E185&gt;0,E185,0)</f>
        <v>624483.29</v>
      </c>
      <c r="D185" s="1">
        <f>IF(E185&lt;0,-E185,0)</f>
        <v>0</v>
      </c>
      <c r="E185" s="1">
        <f>IFERROR(VLOOKUP(B185,$A$235:$B$357,2,FALSE),0)</f>
        <v>624483.29</v>
      </c>
    </row>
    <row r="186" hidden="1" spans="2:5" x14ac:dyDescent="0.25">
      <c r="B186" t="s">
        <v>181</v>
      </c>
      <c r="C186" s="1">
        <f>IF(E186&gt;0,E186,0)</f>
        <v>0</v>
      </c>
      <c r="D186" s="1">
        <f>IF(E186&lt;0,-E186,0)</f>
        <v>0</v>
      </c>
      <c r="E186" s="1">
        <f>IFERROR(VLOOKUP(B186,$A$235:$B$357,2,FALSE),0)</f>
        <v>0</v>
      </c>
    </row>
    <row r="187" hidden="1" spans="2:5" x14ac:dyDescent="0.25">
      <c r="B187" t="s">
        <v>182</v>
      </c>
      <c r="C187" s="1">
        <f>IF(E187&gt;0,E187,0)</f>
        <v>0</v>
      </c>
      <c r="D187" s="1">
        <f>IF(E187&lt;0,-E187,0)</f>
        <v>0</v>
      </c>
      <c r="E187" s="1">
        <f>IFERROR(VLOOKUP(B187,$A$235:$B$357,2,FALSE),0)</f>
        <v>0</v>
      </c>
    </row>
    <row r="188" hidden="1" spans="2:5" x14ac:dyDescent="0.25">
      <c r="B188" t="s">
        <v>183</v>
      </c>
      <c r="C188" s="1">
        <f>IF(E188&gt;0,E188,0)</f>
        <v>0</v>
      </c>
      <c r="D188" s="1">
        <f>IF(E188&lt;0,-E188,0)</f>
        <v>0</v>
      </c>
      <c r="E188" s="1">
        <f>IFERROR(VLOOKUP(B188,$A$235:$B$357,2,FALSE),0)</f>
        <v>0</v>
      </c>
    </row>
    <row r="189" spans="2:5" x14ac:dyDescent="0.25">
      <c r="B189" t="s">
        <v>184</v>
      </c>
      <c r="C189" s="1">
        <f>IF(E189&gt;0,E189,0)</f>
        <v>2400000</v>
      </c>
      <c r="D189" s="1">
        <f>IF(E189&lt;0,-E189,0)</f>
        <v>0</v>
      </c>
      <c r="E189" s="1">
        <f>IFERROR(VLOOKUP(B189,$A$235:$B$357,2,FALSE),0)</f>
        <v>2400000</v>
      </c>
    </row>
    <row r="190" hidden="1" spans="2:5" x14ac:dyDescent="0.25">
      <c r="B190" t="s">
        <v>185</v>
      </c>
      <c r="C190" s="1">
        <f>IF(E190&gt;0,E190,0)</f>
        <v>0</v>
      </c>
      <c r="D190" s="1">
        <f>IF(E190&lt;0,-E190,0)</f>
        <v>0</v>
      </c>
      <c r="E190" s="1">
        <f>IFERROR(VLOOKUP(B190,$A$235:$B$357,2,FALSE),0)</f>
        <v>0</v>
      </c>
    </row>
    <row r="191" hidden="1" spans="2:5" x14ac:dyDescent="0.25">
      <c r="B191" t="s">
        <v>186</v>
      </c>
      <c r="C191" s="1">
        <f>IF(E191&gt;0,E191,0)</f>
        <v>0</v>
      </c>
      <c r="D191" s="1">
        <f>IF(E191&lt;0,-E191,0)</f>
        <v>0</v>
      </c>
      <c r="E191" s="1">
        <f>IFERROR(VLOOKUP(B191,$A$235:$B$357,2,FALSE),0)</f>
        <v>0</v>
      </c>
    </row>
    <row r="192" hidden="1" spans="2:5" x14ac:dyDescent="0.25">
      <c r="B192" t="s">
        <v>187</v>
      </c>
      <c r="C192" s="1">
        <f>IF(E192&gt;0,E192,0)</f>
        <v>0</v>
      </c>
      <c r="D192" s="1">
        <f>IF(E192&lt;0,-E192,0)</f>
        <v>0</v>
      </c>
      <c r="E192" s="1">
        <f>IFERROR(VLOOKUP(B192,$A$235:$B$357,2,FALSE),0)</f>
        <v>0</v>
      </c>
    </row>
    <row r="193" hidden="1" spans="2:5" x14ac:dyDescent="0.25">
      <c r="B193" t="s">
        <v>188</v>
      </c>
      <c r="C193" s="1">
        <f>IF(E193&gt;0,E193,0)</f>
        <v>0</v>
      </c>
      <c r="D193" s="1">
        <f>IF(E193&lt;0,-E193,0)</f>
        <v>0</v>
      </c>
      <c r="E193" s="1">
        <f>IFERROR(VLOOKUP(B193,$A$235:$B$357,2,FALSE),0)</f>
        <v>0</v>
      </c>
    </row>
    <row r="194" hidden="1" spans="2:5" x14ac:dyDescent="0.25">
      <c r="B194" t="s">
        <v>189</v>
      </c>
      <c r="C194" s="1">
        <f>IF(E194&gt;0,E194,0)</f>
        <v>0</v>
      </c>
      <c r="D194" s="1">
        <f>IF(E194&lt;0,-E194,0)</f>
        <v>0</v>
      </c>
      <c r="E194" s="1">
        <f>IFERROR(VLOOKUP(B194,$A$235:$B$357,2,FALSE),0)</f>
        <v>0</v>
      </c>
    </row>
    <row r="195" hidden="1" spans="2:5" x14ac:dyDescent="0.25">
      <c r="B195" t="s">
        <v>185</v>
      </c>
      <c r="C195" s="1">
        <f>IF(E195&gt;0,E195,0)</f>
        <v>0</v>
      </c>
      <c r="D195" s="1">
        <f>IF(E195&lt;0,-E195,0)</f>
        <v>0</v>
      </c>
      <c r="E195" s="1">
        <f>IFERROR(VLOOKUP(B195,$A$235:$B$357,2,FALSE),0)</f>
        <v>0</v>
      </c>
    </row>
    <row r="196" spans="2:5" x14ac:dyDescent="0.25">
      <c r="B196" t="s">
        <v>190</v>
      </c>
      <c r="C196" s="1">
        <f>IF(E196&gt;0,E196,0)</f>
        <v>661934.13</v>
      </c>
      <c r="D196" s="1">
        <f>IF(E196&lt;0,-E196,0)</f>
        <v>0</v>
      </c>
      <c r="E196" s="1">
        <f>IFERROR(VLOOKUP(B196,$A$235:$B$357,2,FALSE),0)</f>
        <v>661934.13</v>
      </c>
    </row>
    <row r="197" hidden="1" spans="2:5" x14ac:dyDescent="0.25">
      <c r="B197" t="s">
        <v>191</v>
      </c>
      <c r="C197" s="1">
        <f>IF(E197&gt;0,E197,0)</f>
        <v>0</v>
      </c>
      <c r="D197" s="1">
        <f>IF(E197&lt;0,-E197,0)</f>
        <v>0</v>
      </c>
      <c r="E197" s="1">
        <f>IFERROR(VLOOKUP(B197,$A$235:$B$357,2,FALSE),0)</f>
        <v>0</v>
      </c>
    </row>
    <row r="198" spans="2:5" x14ac:dyDescent="0.25">
      <c r="B198" t="s">
        <v>192</v>
      </c>
      <c r="C198" s="1">
        <f>IF(E198&gt;0,E198,0)</f>
        <v>35815367.33</v>
      </c>
      <c r="D198" s="1">
        <f>IF(E198&lt;0,-E198,0)</f>
        <v>0</v>
      </c>
      <c r="E198" s="1">
        <f>IFERROR(VLOOKUP(B198,$A$235:$B$357,2,FALSE),0)</f>
        <v>35815367.33</v>
      </c>
    </row>
    <row r="199" hidden="1" spans="2:5" x14ac:dyDescent="0.25">
      <c r="B199" t="s">
        <v>193</v>
      </c>
      <c r="C199" s="1">
        <f>IF(E199&gt;0,E199,0)</f>
        <v>0</v>
      </c>
      <c r="D199" s="1">
        <f>IF(E199&lt;0,-E199,0)</f>
        <v>0</v>
      </c>
      <c r="E199" s="1">
        <f>IFERROR(VLOOKUP(B199,$A$235:$B$357,2,FALSE),0)</f>
        <v>0</v>
      </c>
    </row>
    <row r="200" spans="2:5" x14ac:dyDescent="0.25">
      <c r="B200" t="s">
        <v>194</v>
      </c>
      <c r="C200" s="1">
        <f>IF(E200&gt;0,E200,0)</f>
        <v>880675.8</v>
      </c>
      <c r="D200" s="1">
        <f>IF(E200&lt;0,-E200,0)</f>
        <v>0</v>
      </c>
      <c r="E200" s="1">
        <f>IFERROR(VLOOKUP(B200,$A$235:$B$357,2,FALSE),0)</f>
        <v>880675.8</v>
      </c>
    </row>
    <row r="201" hidden="1" spans="2:5" x14ac:dyDescent="0.25">
      <c r="B201" t="s">
        <v>195</v>
      </c>
      <c r="C201" s="1">
        <f>IF(E201&gt;0,E201,0)</f>
        <v>0</v>
      </c>
      <c r="D201" s="1">
        <f>IF(E201&lt;0,-E201,0)</f>
        <v>0</v>
      </c>
      <c r="E201" s="1">
        <f>IFERROR(VLOOKUP(B201,$A$235:$B$357,2,FALSE),0)</f>
        <v>0</v>
      </c>
    </row>
    <row r="202" hidden="1" spans="2:5" x14ac:dyDescent="0.25">
      <c r="B202" t="s">
        <v>196</v>
      </c>
      <c r="C202" s="1">
        <f>IF(E202&gt;0,E202,0)</f>
        <v>0</v>
      </c>
      <c r="D202" s="1">
        <f>IF(E202&lt;0,-E202,0)</f>
        <v>0</v>
      </c>
      <c r="E202" s="1">
        <f>IFERROR(VLOOKUP(B202,$A$235:$B$357,2,FALSE),0)</f>
        <v>0</v>
      </c>
    </row>
    <row r="203" spans="2:5" x14ac:dyDescent="0.25">
      <c r="B203" t="s">
        <v>197</v>
      </c>
      <c r="C203" s="1">
        <f>IF(E203&gt;0,E203,0)</f>
        <v>80711</v>
      </c>
      <c r="D203" s="1">
        <f>IF(E203&lt;0,-E203,0)</f>
        <v>0</v>
      </c>
      <c r="E203" s="1">
        <f>IFERROR(VLOOKUP(B203,$A$235:$B$357,2,FALSE),0)</f>
        <v>80711</v>
      </c>
    </row>
    <row r="204" hidden="1" spans="2:5" x14ac:dyDescent="0.25">
      <c r="B204" t="s">
        <v>198</v>
      </c>
      <c r="C204" s="1">
        <f>IF(E204&gt;0,E204,0)</f>
        <v>0</v>
      </c>
      <c r="D204" s="1">
        <f>IF(E204&lt;0,-E204,0)</f>
        <v>0</v>
      </c>
      <c r="E204" s="1">
        <f>IFERROR(VLOOKUP(B204,$A$235:$B$357,2,FALSE),0)</f>
        <v>0</v>
      </c>
    </row>
    <row r="205" hidden="1" spans="2:5" x14ac:dyDescent="0.25">
      <c r="B205" t="s">
        <v>199</v>
      </c>
      <c r="C205" s="1">
        <f>IF(E205&gt;0,E205,0)</f>
        <v>0</v>
      </c>
      <c r="D205" s="1">
        <f>IF(E205&lt;0,-E205,0)</f>
        <v>0</v>
      </c>
      <c r="E205" s="1">
        <f>IFERROR(VLOOKUP(B205,$A$235:$B$357,2,FALSE),0)</f>
        <v>0</v>
      </c>
    </row>
    <row r="206" hidden="1" spans="2:5" x14ac:dyDescent="0.25">
      <c r="B206" t="s">
        <v>200</v>
      </c>
      <c r="C206" s="1">
        <f>IF(E206&gt;0,E206,0)</f>
        <v>0</v>
      </c>
      <c r="D206" s="1">
        <f>IF(E206&lt;0,-E206,0)</f>
        <v>0</v>
      </c>
      <c r="E206" s="1">
        <f>IFERROR(VLOOKUP(B206,$A$235:$B$357,2,FALSE),0)</f>
        <v>0</v>
      </c>
    </row>
    <row r="207" hidden="1" spans="2:5" x14ac:dyDescent="0.25">
      <c r="B207" t="s">
        <v>201</v>
      </c>
      <c r="C207" s="1">
        <f>IF(E207&gt;0,E207,0)</f>
        <v>0</v>
      </c>
      <c r="D207" s="1">
        <f>IF(E207&lt;0,-E207,0)</f>
        <v>0</v>
      </c>
      <c r="E207" s="1">
        <f>IFERROR(VLOOKUP(B207,$A$235:$B$357,2,FALSE),0)</f>
        <v>0</v>
      </c>
    </row>
    <row r="208" hidden="1" spans="2:5" x14ac:dyDescent="0.25">
      <c r="B208" t="s">
        <v>202</v>
      </c>
      <c r="C208" s="1">
        <f>IF(E208&gt;0,E208,0)</f>
        <v>0</v>
      </c>
      <c r="D208" s="1">
        <f>IF(E208&lt;0,-E208,0)</f>
        <v>0</v>
      </c>
      <c r="E208" s="1">
        <f>IFERROR(VLOOKUP(B208,$A$235:$B$357,2,FALSE),0)</f>
        <v>0</v>
      </c>
    </row>
    <row r="209" hidden="1" spans="2:5" x14ac:dyDescent="0.25">
      <c r="B209" t="s">
        <v>203</v>
      </c>
      <c r="C209" s="1">
        <f>IF(E209&gt;0,E209,0)</f>
        <v>0</v>
      </c>
      <c r="D209" s="1">
        <f>IF(E209&lt;0,-E209,0)</f>
        <v>0</v>
      </c>
      <c r="E209" s="1">
        <f>IFERROR(VLOOKUP(B209,$A$235:$B$357,2,FALSE),0)</f>
        <v>0</v>
      </c>
    </row>
    <row r="210" spans="2:5" x14ac:dyDescent="0.25">
      <c r="B210" t="s">
        <v>204</v>
      </c>
      <c r="C210" s="1">
        <f>IF(E210&gt;0,E210,0)</f>
        <v>8329025.390000001</v>
      </c>
      <c r="D210" s="1">
        <f>IF(E210&lt;0,-E210,0)</f>
        <v>0</v>
      </c>
      <c r="E210" s="1">
        <f>IFERROR(VLOOKUP(B210,$A$235:$B$357,2,FALSE),0)</f>
        <v>8329025.390000001</v>
      </c>
    </row>
    <row r="211" hidden="1" spans="2:5" x14ac:dyDescent="0.25">
      <c r="B211" t="s">
        <v>205</v>
      </c>
      <c r="C211" s="1">
        <f>IF(E211&gt;0,E211,0)</f>
        <v>0</v>
      </c>
      <c r="D211" s="1">
        <f>IF(E211&lt;0,-E211,0)</f>
        <v>0</v>
      </c>
      <c r="E211" s="1">
        <f>IFERROR(VLOOKUP(B211,$A$235:$B$357,2,FALSE),0)</f>
        <v>0</v>
      </c>
    </row>
    <row r="212" hidden="1" spans="2:5" x14ac:dyDescent="0.25">
      <c r="B212" t="s">
        <v>206</v>
      </c>
      <c r="C212" s="1">
        <f>IF(E212&gt;0,E212,0)</f>
        <v>0</v>
      </c>
      <c r="D212" s="1">
        <f>IF(E212&lt;0,-E212,0)</f>
        <v>0</v>
      </c>
      <c r="E212" s="1">
        <f>IFERROR(VLOOKUP(B212,$A$235:$B$357,2,FALSE),0)</f>
        <v>0</v>
      </c>
    </row>
    <row r="213" hidden="1" spans="2:5" x14ac:dyDescent="0.25">
      <c r="B213" t="s">
        <v>207</v>
      </c>
      <c r="C213" s="1">
        <f>IF(E213&gt;0,E213,0)</f>
        <v>0</v>
      </c>
      <c r="D213" s="1">
        <f>IF(E213&lt;0,-E213,0)</f>
        <v>0</v>
      </c>
      <c r="E213" s="1">
        <f>IFERROR(VLOOKUP(B213,$A$235:$B$357,2,FALSE),0)</f>
        <v>0</v>
      </c>
    </row>
    <row r="214" spans="2:5" x14ac:dyDescent="0.25">
      <c r="B214" t="s">
        <v>208</v>
      </c>
      <c r="C214" s="1">
        <f>IF(E214&gt;0,E214,0)</f>
        <v>18860.69</v>
      </c>
      <c r="D214" s="1">
        <f>IF(E214&lt;0,-E214,0)</f>
        <v>0</v>
      </c>
      <c r="E214" s="1">
        <f>IFERROR(VLOOKUP(B214,$A$235:$B$357,2,FALSE),0)</f>
        <v>18860.69</v>
      </c>
    </row>
    <row r="215" hidden="1" spans="2:5" x14ac:dyDescent="0.25">
      <c r="B215" t="s">
        <v>209</v>
      </c>
      <c r="C215" s="1">
        <f>IF(E215&gt;0,E215,0)</f>
        <v>0</v>
      </c>
      <c r="D215" s="1">
        <f>IF(E215&lt;0,-E215,0)</f>
        <v>0</v>
      </c>
      <c r="E215" s="1">
        <f>IFERROR(VLOOKUP(B215,$A$235:$B$3703,2,FALSE),0)</f>
        <v>0</v>
      </c>
    </row>
    <row r="216" hidden="1" spans="2:5" x14ac:dyDescent="0.25">
      <c r="B216" t="s">
        <v>210</v>
      </c>
      <c r="C216" s="1">
        <f>IF(E216&gt;0,E216,0)</f>
        <v>0</v>
      </c>
      <c r="D216" s="1">
        <f>IF(E216&lt;0,-E216,0)</f>
        <v>0</v>
      </c>
      <c r="E216" s="1">
        <f>IFERROR(VLOOKUP(B216,$A$235:$B$3703,2,FALSE),0)</f>
        <v>0</v>
      </c>
    </row>
    <row r="217" hidden="1" spans="2:5" x14ac:dyDescent="0.25">
      <c r="B217" t="s">
        <v>211</v>
      </c>
      <c r="C217" s="1">
        <f>IF(E217&gt;0,E217,0)</f>
        <v>0</v>
      </c>
      <c r="D217" s="1">
        <f>IF(E217&lt;0,-E217,0)</f>
        <v>0</v>
      </c>
      <c r="E217" s="1">
        <f>IFERROR(VLOOKUP(B217,$A$235:$B$3703,2,FALSE),0)</f>
        <v>0</v>
      </c>
    </row>
    <row r="218" hidden="1" spans="2:5" x14ac:dyDescent="0.25">
      <c r="B218" t="s">
        <v>212</v>
      </c>
      <c r="C218" s="1">
        <f>IF(E218&gt;0,E218,0)</f>
        <v>0</v>
      </c>
      <c r="D218" s="1">
        <f>IF(E218&lt;0,-E218,0)</f>
        <v>0</v>
      </c>
      <c r="E218" s="1">
        <f>IFERROR(VLOOKUP(B218,$A$235:$B$3703,2,FALSE),0)</f>
        <v>0</v>
      </c>
    </row>
    <row r="219" hidden="1" spans="2:5" x14ac:dyDescent="0.25">
      <c r="B219" t="s">
        <v>213</v>
      </c>
      <c r="C219" s="1">
        <f>IF(E219&gt;0,E219,0)</f>
        <v>0</v>
      </c>
      <c r="D219" s="1">
        <f>IF(E219&lt;0,-E219,0)</f>
        <v>0</v>
      </c>
      <c r="E219" s="1">
        <f>IFERROR(VLOOKUP(B219,$A$235:$B$3703,2,FALSE),0)</f>
        <v>0</v>
      </c>
    </row>
    <row r="220" hidden="1" spans="2:5" x14ac:dyDescent="0.25">
      <c r="B220" t="s">
        <v>214</v>
      </c>
      <c r="C220" s="1">
        <f>IF(E220&gt;0,E220,0)</f>
        <v>0</v>
      </c>
      <c r="D220" s="1">
        <f>IF(E220&lt;0,-E220,0)</f>
        <v>0</v>
      </c>
      <c r="E220" s="1">
        <f>IFERROR(VLOOKUP(B220,$A$235:$B$3703,2,FALSE),0)</f>
        <v>0</v>
      </c>
    </row>
    <row r="221" hidden="1" spans="2:5" x14ac:dyDescent="0.25">
      <c r="B221" t="s">
        <v>215</v>
      </c>
      <c r="C221" s="1">
        <f>IF(E221&gt;0,E221,0)</f>
        <v>0</v>
      </c>
      <c r="D221" s="1">
        <f>IF(E221&lt;0,-E221,0)</f>
        <v>0</v>
      </c>
      <c r="E221" s="1">
        <f>IFERROR(VLOOKUP(B221,$A$235:$B$3703,2,FALSE),0)</f>
        <v>0</v>
      </c>
    </row>
    <row r="222" spans="2:5" x14ac:dyDescent="0.25">
      <c r="B222" t="s">
        <v>216</v>
      </c>
      <c r="C222" s="1">
        <f>IF(E222&gt;0,E222,0)</f>
        <v>0</v>
      </c>
      <c r="D222" s="1">
        <f>IF(E222&lt;0,-E222,0)</f>
        <v>0</v>
      </c>
      <c r="E222" s="1">
        <f>IFERROR(VLOOKUP(B222,$A$235:$B$3703,2,FALSE),0)</f>
        <v>0</v>
      </c>
    </row>
    <row r="223" spans="6:7" x14ac:dyDescent="0.25">
      <c r="F223" s="2">
        <f>SUM(E115:E222)</f>
        <v>574495343.0000001</v>
      </c>
      <c r="G223" s="2">
        <f>+F223+EERR!C30</f>
        <v>0</v>
      </c>
    </row>
    <row r="224" spans="3:6" x14ac:dyDescent="0.25">
      <c r="C224" s="1">
        <f>SUM(C4:C223)</f>
        <v>1736356202.0400004</v>
      </c>
      <c r="D224" s="1">
        <f>SUM(D4:D223)</f>
        <v>1736356202.04</v>
      </c>
      <c r="E224" s="1" t="s">
        <v>217</v>
      </c>
      <c r="F224" s="2">
        <f>C224-D224</f>
        <v>0</v>
      </c>
    </row>
    <row r="235" hidden="1" spans="1:2" x14ac:dyDescent="0.25">
      <c r="A235" t="s">
        <v>5</v>
      </c>
      <c r="B235" s="3">
        <v>4878940.17</v>
      </c>
    </row>
    <row r="236" hidden="1" spans="1:2" x14ac:dyDescent="0.25">
      <c r="A236" t="s">
        <v>7</v>
      </c>
      <c r="B236" s="3">
        <v>219745.62</v>
      </c>
    </row>
    <row r="237" hidden="1" spans="1:2" x14ac:dyDescent="0.25">
      <c r="A237" t="s">
        <v>9</v>
      </c>
      <c r="B237" s="3">
        <v>228102.13</v>
      </c>
    </row>
    <row r="238" hidden="1" spans="1:2" x14ac:dyDescent="0.25">
      <c r="A238" t="s">
        <v>10</v>
      </c>
      <c r="B238" s="3">
        <v>-408326930.73</v>
      </c>
    </row>
    <row r="239" hidden="1" spans="1:2" x14ac:dyDescent="0.25">
      <c r="A239" t="s">
        <v>12</v>
      </c>
      <c r="B239" s="3">
        <v>725484.5</v>
      </c>
    </row>
    <row r="240" hidden="1" spans="1:2" x14ac:dyDescent="0.25">
      <c r="A240" t="s">
        <v>15</v>
      </c>
      <c r="B240" s="3">
        <v>156195.52</v>
      </c>
    </row>
    <row r="241" hidden="1" spans="1:2" x14ac:dyDescent="0.25">
      <c r="A241" t="s">
        <v>16</v>
      </c>
      <c r="B241" s="3">
        <v>28186194.26</v>
      </c>
    </row>
    <row r="242" hidden="1" spans="1:2" x14ac:dyDescent="0.25">
      <c r="A242" t="s">
        <v>21</v>
      </c>
      <c r="B242" s="3">
        <v>1600000</v>
      </c>
    </row>
    <row r="243" hidden="1" spans="1:2" x14ac:dyDescent="0.25">
      <c r="A243" t="s">
        <v>22</v>
      </c>
      <c r="B243" s="3">
        <v>700000</v>
      </c>
    </row>
    <row r="244" hidden="1" spans="1:2" x14ac:dyDescent="0.25">
      <c r="A244" t="s">
        <v>19</v>
      </c>
      <c r="B244" s="3">
        <v>200000</v>
      </c>
    </row>
    <row r="245" hidden="1" spans="1:2" x14ac:dyDescent="0.25">
      <c r="A245" t="s">
        <v>24</v>
      </c>
      <c r="B245" s="3">
        <v>16566948.69</v>
      </c>
    </row>
    <row r="246" hidden="1" spans="1:2" x14ac:dyDescent="0.25">
      <c r="A246" t="s">
        <v>25</v>
      </c>
      <c r="B246" s="3">
        <v>2883.36</v>
      </c>
    </row>
    <row r="247" hidden="1" spans="1:2" x14ac:dyDescent="0.25">
      <c r="A247" t="s">
        <v>27</v>
      </c>
      <c r="B247" s="3">
        <v>18111832.17</v>
      </c>
    </row>
    <row r="248" hidden="1" spans="1:2" x14ac:dyDescent="0.25">
      <c r="A248" t="s">
        <v>30</v>
      </c>
      <c r="B248" s="3">
        <v>754089.29</v>
      </c>
    </row>
    <row r="249" hidden="1" spans="1:2" x14ac:dyDescent="0.25">
      <c r="A249" t="s">
        <v>31</v>
      </c>
      <c r="B249" s="3">
        <v>2913406.48</v>
      </c>
    </row>
    <row r="250" hidden="1" spans="1:2" x14ac:dyDescent="0.25">
      <c r="A250" t="s">
        <v>32</v>
      </c>
      <c r="B250" s="3">
        <v>88910.51</v>
      </c>
    </row>
    <row r="251" hidden="1" spans="1:2" x14ac:dyDescent="0.25">
      <c r="A251" t="s">
        <v>33</v>
      </c>
      <c r="B251" s="3">
        <v>260544.35</v>
      </c>
    </row>
    <row r="252" hidden="1" spans="1:2" x14ac:dyDescent="0.25">
      <c r="A252" t="s">
        <v>34</v>
      </c>
      <c r="B252" s="3">
        <v>19271905.73</v>
      </c>
    </row>
    <row r="253" hidden="1" spans="1:2" x14ac:dyDescent="0.25">
      <c r="A253" t="s">
        <v>35</v>
      </c>
      <c r="B253" s="3">
        <v>2833073.66</v>
      </c>
    </row>
    <row r="254" hidden="1" spans="1:2" x14ac:dyDescent="0.25">
      <c r="A254" t="s">
        <v>36</v>
      </c>
      <c r="B254" s="3">
        <v>9565950.19</v>
      </c>
    </row>
    <row r="255" hidden="1" spans="1:2" x14ac:dyDescent="0.25">
      <c r="A255" t="s">
        <v>37</v>
      </c>
      <c r="B255" s="3">
        <v>368456.52</v>
      </c>
    </row>
    <row r="256" hidden="1" spans="1:2" x14ac:dyDescent="0.25">
      <c r="A256" t="s">
        <v>38</v>
      </c>
      <c r="B256" s="3">
        <v>166243613.31</v>
      </c>
    </row>
    <row r="257" hidden="1" spans="1:2" x14ac:dyDescent="0.25">
      <c r="A257" t="s">
        <v>39</v>
      </c>
      <c r="B257" s="3">
        <v>-754089.29</v>
      </c>
    </row>
    <row r="258" hidden="1" spans="1:2" x14ac:dyDescent="0.25">
      <c r="A258" t="s">
        <v>40</v>
      </c>
      <c r="B258" s="3">
        <v>-2761557.11</v>
      </c>
    </row>
    <row r="259" hidden="1" spans="1:2" x14ac:dyDescent="0.25">
      <c r="A259" t="s">
        <v>41</v>
      </c>
      <c r="B259" s="3">
        <v>-2833073.66</v>
      </c>
    </row>
    <row r="260" hidden="1" spans="1:2" x14ac:dyDescent="0.25">
      <c r="A260" t="s">
        <v>42</v>
      </c>
      <c r="B260" s="3">
        <v>-9934406.71</v>
      </c>
    </row>
    <row r="261" hidden="1" spans="1:2" x14ac:dyDescent="0.25">
      <c r="A261" t="s">
        <v>43</v>
      </c>
      <c r="B261" s="3">
        <v>-349454.86</v>
      </c>
    </row>
    <row r="262" hidden="1" spans="1:2" x14ac:dyDescent="0.25">
      <c r="A262" t="s">
        <v>44</v>
      </c>
      <c r="B262" s="3">
        <v>-17379802.28</v>
      </c>
    </row>
    <row r="263" hidden="1" spans="1:2" x14ac:dyDescent="0.25">
      <c r="A263" t="s">
        <v>45</v>
      </c>
      <c r="B263" s="3">
        <v>-90810580.53</v>
      </c>
    </row>
    <row r="264" hidden="1" spans="1:2" x14ac:dyDescent="0.25">
      <c r="A264" t="s">
        <v>54</v>
      </c>
      <c r="B264" s="3">
        <v>-841654.84</v>
      </c>
    </row>
    <row r="265" hidden="1" spans="1:2" x14ac:dyDescent="0.25">
      <c r="A265" t="s">
        <v>57</v>
      </c>
      <c r="B265" s="3">
        <v>-6500</v>
      </c>
    </row>
    <row r="266" hidden="1" spans="1:2" x14ac:dyDescent="0.25">
      <c r="A266" t="s">
        <v>58</v>
      </c>
      <c r="B266" s="3">
        <v>-13023314.89</v>
      </c>
    </row>
    <row r="267" hidden="1" spans="1:2" x14ac:dyDescent="0.25">
      <c r="A267" t="s">
        <v>61</v>
      </c>
      <c r="B267" s="3">
        <v>-211080.6</v>
      </c>
    </row>
    <row r="268" hidden="1" spans="1:2" x14ac:dyDescent="0.25">
      <c r="A268" t="s">
        <v>62</v>
      </c>
      <c r="B268" s="3">
        <v>100</v>
      </c>
    </row>
    <row r="269" hidden="1" spans="1:2" x14ac:dyDescent="0.25">
      <c r="A269" t="s">
        <v>92</v>
      </c>
      <c r="B269" s="3">
        <v>600</v>
      </c>
    </row>
    <row r="270" hidden="1" spans="1:2" x14ac:dyDescent="0.25">
      <c r="A270" t="s">
        <v>93</v>
      </c>
      <c r="B270" s="3">
        <v>-7949700</v>
      </c>
    </row>
    <row r="271" hidden="1" spans="1:2" x14ac:dyDescent="0.25">
      <c r="A271" t="s">
        <v>69</v>
      </c>
      <c r="B271" s="3">
        <v>2230648.47</v>
      </c>
    </row>
    <row r="272" hidden="1" spans="1:2" x14ac:dyDescent="0.25">
      <c r="A272" t="s">
        <v>70</v>
      </c>
      <c r="B272" s="3">
        <v>-36000</v>
      </c>
    </row>
    <row r="273" hidden="1" spans="1:2" x14ac:dyDescent="0.25">
      <c r="A273" t="s">
        <v>74</v>
      </c>
      <c r="B273" s="3">
        <v>-13528940.040000001</v>
      </c>
    </row>
    <row r="274" hidden="1" spans="1:2" x14ac:dyDescent="0.25">
      <c r="A274" t="s">
        <v>75</v>
      </c>
      <c r="B274" s="3">
        <v>-846673.24</v>
      </c>
    </row>
    <row r="275" hidden="1" spans="1:2" x14ac:dyDescent="0.25">
      <c r="A275" t="s">
        <v>78</v>
      </c>
      <c r="B275" s="3">
        <v>-587820.73</v>
      </c>
    </row>
    <row r="276" hidden="1" spans="1:2" x14ac:dyDescent="0.25">
      <c r="A276" t="s">
        <v>79</v>
      </c>
      <c r="B276" s="3">
        <v>59671.53</v>
      </c>
    </row>
    <row r="277" hidden="1" spans="1:2" x14ac:dyDescent="0.25">
      <c r="A277" t="s">
        <v>80</v>
      </c>
      <c r="B277" s="3">
        <v>-127381500</v>
      </c>
    </row>
    <row r="278" hidden="1" spans="1:2" x14ac:dyDescent="0.25">
      <c r="A278" t="s">
        <v>82</v>
      </c>
      <c r="B278" s="3">
        <v>-33000</v>
      </c>
    </row>
    <row r="279" hidden="1" spans="1:2" x14ac:dyDescent="0.25">
      <c r="A279" t="s">
        <v>84</v>
      </c>
      <c r="B279" s="3">
        <v>-604</v>
      </c>
    </row>
    <row r="280" hidden="1" spans="1:2" x14ac:dyDescent="0.25">
      <c r="A280" t="s">
        <v>88</v>
      </c>
      <c r="B280" s="3">
        <v>-2000</v>
      </c>
    </row>
    <row r="281" hidden="1" spans="1:2" x14ac:dyDescent="0.25">
      <c r="A281" t="s">
        <v>94</v>
      </c>
      <c r="B281" s="3">
        <v>-16449000</v>
      </c>
    </row>
    <row r="282" hidden="1" spans="1:2" x14ac:dyDescent="0.25">
      <c r="A282" t="s">
        <v>102</v>
      </c>
      <c r="B282" s="3">
        <v>-100</v>
      </c>
    </row>
    <row r="283" hidden="1" spans="1:2" x14ac:dyDescent="0.25">
      <c r="A283" t="s">
        <v>103</v>
      </c>
      <c r="B283" s="3">
        <v>-204139.83000000002</v>
      </c>
    </row>
    <row r="284" hidden="1" spans="1:2" x14ac:dyDescent="0.25">
      <c r="A284" t="s">
        <v>104</v>
      </c>
      <c r="B284" s="3">
        <v>-600000</v>
      </c>
    </row>
    <row r="285" hidden="1" spans="1:2" x14ac:dyDescent="0.25">
      <c r="A285" t="s">
        <v>108</v>
      </c>
      <c r="B285" s="3">
        <v>-3423889.65</v>
      </c>
    </row>
    <row r="286" hidden="1" spans="1:2" x14ac:dyDescent="0.25">
      <c r="A286" t="s">
        <v>110</v>
      </c>
      <c r="B286" s="3">
        <v>-979869868.59</v>
      </c>
    </row>
    <row r="287" hidden="1" spans="1:2" x14ac:dyDescent="0.25">
      <c r="A287" t="s">
        <v>111</v>
      </c>
      <c r="B287" s="3">
        <v>847483042.12</v>
      </c>
    </row>
    <row r="288" hidden="1" spans="1:2" x14ac:dyDescent="0.25">
      <c r="A288" t="s">
        <v>113</v>
      </c>
      <c r="B288" s="3">
        <v>-31238042.84</v>
      </c>
    </row>
    <row r="289" hidden="1" spans="1:2" x14ac:dyDescent="0.25">
      <c r="A289" t="s">
        <v>121</v>
      </c>
      <c r="B289" s="3">
        <v>672542.18</v>
      </c>
    </row>
    <row r="290" hidden="1" spans="1:2" x14ac:dyDescent="0.25">
      <c r="A290" t="s">
        <v>122</v>
      </c>
      <c r="B290" s="3">
        <v>197769378.93</v>
      </c>
    </row>
    <row r="291" hidden="1" spans="1:2" x14ac:dyDescent="0.25">
      <c r="A291" t="s">
        <v>123</v>
      </c>
      <c r="B291" s="3">
        <v>33850774.18</v>
      </c>
    </row>
    <row r="292" hidden="1" spans="1:2" x14ac:dyDescent="0.25">
      <c r="A292" t="s">
        <v>124</v>
      </c>
      <c r="B292" s="3">
        <v>521371.32</v>
      </c>
    </row>
    <row r="293" hidden="1" spans="1:2" x14ac:dyDescent="0.25">
      <c r="A293" t="s">
        <v>125</v>
      </c>
      <c r="B293" s="3">
        <v>61269167.47</v>
      </c>
    </row>
    <row r="294" hidden="1" spans="1:2" x14ac:dyDescent="0.25">
      <c r="A294" t="s">
        <v>134</v>
      </c>
      <c r="B294" s="3">
        <v>7958700</v>
      </c>
    </row>
    <row r="295" hidden="1" spans="1:2" x14ac:dyDescent="0.25">
      <c r="A295" t="s">
        <v>150</v>
      </c>
      <c r="B295" s="3">
        <v>1379539</v>
      </c>
    </row>
    <row r="296" hidden="1" spans="1:2" x14ac:dyDescent="0.25">
      <c r="A296" t="s">
        <v>144</v>
      </c>
      <c r="B296" s="3">
        <v>383019.22000000003</v>
      </c>
    </row>
    <row r="297" hidden="1" spans="1:2" x14ac:dyDescent="0.25">
      <c r="A297" t="s">
        <v>145</v>
      </c>
      <c r="B297" s="3">
        <v>17397088.29</v>
      </c>
    </row>
    <row r="298" hidden="1" spans="1:2" x14ac:dyDescent="0.25">
      <c r="A298" t="s">
        <v>147</v>
      </c>
      <c r="B298" s="3">
        <v>1228669.4000000001</v>
      </c>
    </row>
    <row r="299" hidden="1" spans="1:2" x14ac:dyDescent="0.25">
      <c r="A299" t="s">
        <v>154</v>
      </c>
      <c r="B299" s="3">
        <v>55100</v>
      </c>
    </row>
    <row r="300" hidden="1" spans="1:2" x14ac:dyDescent="0.25">
      <c r="A300" t="s">
        <v>155</v>
      </c>
      <c r="B300" s="3">
        <v>35288139.89</v>
      </c>
    </row>
    <row r="301" hidden="1" spans="1:2" x14ac:dyDescent="0.25">
      <c r="A301" t="s">
        <v>156</v>
      </c>
      <c r="B301" s="3">
        <v>1887708</v>
      </c>
    </row>
    <row r="302" hidden="1" spans="1:2" x14ac:dyDescent="0.25">
      <c r="A302" t="s">
        <v>158</v>
      </c>
      <c r="B302" s="3">
        <v>8580298.42</v>
      </c>
    </row>
    <row r="303" hidden="1" spans="1:2" x14ac:dyDescent="0.25">
      <c r="A303" t="s">
        <v>160</v>
      </c>
      <c r="B303" s="3">
        <v>77279850.76</v>
      </c>
    </row>
    <row r="304" hidden="1" spans="1:2" x14ac:dyDescent="0.25">
      <c r="A304" t="s">
        <v>161</v>
      </c>
      <c r="B304" s="3">
        <v>-957215.29</v>
      </c>
    </row>
    <row r="305" hidden="1" spans="1:2" x14ac:dyDescent="0.25">
      <c r="A305" t="s">
        <v>164</v>
      </c>
      <c r="B305" s="3">
        <v>110838611.65</v>
      </c>
    </row>
    <row r="306" hidden="1" spans="1:2" x14ac:dyDescent="0.25">
      <c r="A306" t="s">
        <v>167</v>
      </c>
      <c r="B306" s="3">
        <v>5082689.600000001</v>
      </c>
    </row>
    <row r="307" hidden="1" spans="1:2" x14ac:dyDescent="0.25">
      <c r="A307" t="s">
        <v>170</v>
      </c>
      <c r="B307" s="3">
        <v>671541.29</v>
      </c>
    </row>
    <row r="308" hidden="1" spans="1:2" x14ac:dyDescent="0.25">
      <c r="A308" t="s">
        <v>171</v>
      </c>
      <c r="B308" s="3">
        <v>150000</v>
      </c>
    </row>
    <row r="309" hidden="1" spans="1:2" x14ac:dyDescent="0.25">
      <c r="A309" t="s">
        <v>173</v>
      </c>
      <c r="B309" s="3">
        <v>321043.66000000003</v>
      </c>
    </row>
    <row r="310" hidden="1" spans="1:2" x14ac:dyDescent="0.25">
      <c r="A310" t="s">
        <v>174</v>
      </c>
      <c r="B310" s="3">
        <v>217000</v>
      </c>
    </row>
    <row r="311" hidden="1" spans="1:2" x14ac:dyDescent="0.25">
      <c r="A311" t="s">
        <v>178</v>
      </c>
      <c r="B311" s="3">
        <v>873100</v>
      </c>
    </row>
    <row r="312" hidden="1" spans="1:2" x14ac:dyDescent="0.25">
      <c r="A312" t="s">
        <v>179</v>
      </c>
      <c r="B312" s="3">
        <v>219472.57</v>
      </c>
    </row>
    <row r="313" hidden="1" spans="1:2" x14ac:dyDescent="0.25">
      <c r="A313" t="s">
        <v>180</v>
      </c>
      <c r="B313" s="3">
        <v>624483.29</v>
      </c>
    </row>
    <row r="314" hidden="1" spans="1:2" x14ac:dyDescent="0.25">
      <c r="A314" t="s">
        <v>184</v>
      </c>
      <c r="B314" s="3">
        <v>2400000</v>
      </c>
    </row>
    <row r="315" hidden="1" spans="1:2" x14ac:dyDescent="0.25">
      <c r="A315" t="s">
        <v>190</v>
      </c>
      <c r="B315" s="3">
        <v>661934.13</v>
      </c>
    </row>
    <row r="316" hidden="1" spans="1:2" x14ac:dyDescent="0.25">
      <c r="A316" t="s">
        <v>192</v>
      </c>
      <c r="B316" s="3">
        <v>35815367.33</v>
      </c>
    </row>
    <row r="317" hidden="1" spans="1:2" x14ac:dyDescent="0.25">
      <c r="A317" t="s">
        <v>197</v>
      </c>
      <c r="B317" s="3">
        <v>80711</v>
      </c>
    </row>
    <row r="318" hidden="1" spans="1:2" x14ac:dyDescent="0.25">
      <c r="A318" t="s">
        <v>194</v>
      </c>
      <c r="B318" s="3">
        <v>880675.8</v>
      </c>
    </row>
    <row r="319" hidden="1" spans="1:2" x14ac:dyDescent="0.25">
      <c r="A319" t="s">
        <v>204</v>
      </c>
      <c r="B319" s="3">
        <v>8329025.390000001</v>
      </c>
    </row>
    <row r="320" hidden="1" spans="1:2" x14ac:dyDescent="0.25">
      <c r="A320" t="s">
        <v>208</v>
      </c>
      <c r="B320" s="3">
        <v>18860.69</v>
      </c>
    </row>
    <row r="321" hidden="1" spans="1:2" x14ac:dyDescent="0.25">
      <c r="A321" t="s">
        <v>115</v>
      </c>
      <c r="B321" s="3">
        <v>-6015262.33</v>
      </c>
    </row>
  </sheetData>
  <autoFilter ref="A1:E361"/>
  <mergeCells count="1">
    <mergeCell ref="C1:D1"/>
  </mergeCells>
  <pageMargins left="0.75" right="0.75" top="1" bottom="1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4"/>
  <sheetViews>
    <sheetView workbookViewId="0" zoomScale="100" zoomScaleNormal="100">
      <selection activeCell="A9" sqref="A9"/>
    </sheetView>
  </sheetViews>
  <sheetFormatPr defaultRowHeight="0" outlineLevelRow="0" outlineLevelCol="0" x14ac:dyDescent="0" customHeight="1"/>
  <cols>
    <col min="1" max="1" width="2.33203125" customWidth="1"/>
    <col min="2" max="3" width="2.109375" customWidth="1"/>
    <col min="4" max="4" width="26.5546875" customWidth="1"/>
    <col min="5" max="5" width="7" customWidth="1"/>
    <col min="6" max="6" width="15.6640625" customWidth="1"/>
    <col min="7" max="7" width="9.44140625" hidden="1" customWidth="1"/>
    <col min="8" max="8" width="1.88671875" customWidth="1"/>
    <col min="9" max="9" width="2.44140625" customWidth="1"/>
    <col min="10" max="10" width="2" customWidth="1"/>
    <col min="11" max="11" width="35.5546875" customWidth="1"/>
    <col min="12" max="12" width="17.5546875" customWidth="1"/>
    <col min="13" max="13" width="10.109375" hidden="1" customWidth="1"/>
    <col min="14" max="14" width="15.33203125" customWidth="1"/>
    <col min="15" max="15" width="13.6640625" customWidth="1"/>
    <col min="16" max="16" width="16.33203125" customWidth="1"/>
    <col min="17" max="17" width="9.109375" customWidth="1"/>
    <col min="18" max="18" width="14.88671875" customWidth="1"/>
    <col min="19" max="19" width="11.5546875" customWidth="1"/>
    <col min="20" max="257" width="9.109375" customWidth="1"/>
  </cols>
  <sheetData>
    <row r="1" spans="1:19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x14ac:dyDescent="0.25">
      <c r="A5" s="5" t="s">
        <v>218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4"/>
      <c r="N5" s="4"/>
      <c r="O5" s="4"/>
      <c r="P5" s="4"/>
      <c r="Q5" s="4"/>
      <c r="R5" s="4"/>
      <c r="S5" s="4"/>
    </row>
    <row r="6" spans="1:19" x14ac:dyDescent="0.25">
      <c r="A6" s="5"/>
      <c r="B6" s="5"/>
      <c r="C6" s="5"/>
      <c r="D6" s="5"/>
      <c r="E6" s="5"/>
      <c r="F6" s="5"/>
      <c r="G6" s="5"/>
      <c r="H6" s="5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spans="1:19" x14ac:dyDescent="0.25">
      <c r="A7" s="5" t="s">
        <v>219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4"/>
      <c r="N7" s="4"/>
      <c r="O7" s="4"/>
      <c r="P7" s="4"/>
      <c r="Q7" s="4"/>
      <c r="R7" s="4"/>
      <c r="S7" s="4"/>
    </row>
    <row r="8" spans="1:19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pans="1:19" x14ac:dyDescent="0.25">
      <c r="A9" s="5" t="s">
        <v>220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4"/>
      <c r="N9" s="4"/>
      <c r="O9" s="4"/>
      <c r="P9" s="4"/>
      <c r="Q9" s="4"/>
      <c r="R9" s="4"/>
      <c r="S9" s="4"/>
    </row>
    <row r="10" spans="1:19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ht="12" customHeight="1" spans="1:19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</row>
    <row r="12" ht="12.6" customHeight="1" spans="1:19" x14ac:dyDescent="0.25">
      <c r="A12" s="7"/>
      <c r="B12" s="8" t="s">
        <v>68</v>
      </c>
      <c r="C12" s="8"/>
      <c r="D12" s="8"/>
      <c r="E12" s="8"/>
      <c r="F12" s="9" t="s">
        <v>68</v>
      </c>
      <c r="G12" s="9"/>
      <c r="H12" s="8"/>
      <c r="I12" s="8"/>
      <c r="J12" s="8"/>
      <c r="K12" s="8"/>
      <c r="L12" s="10"/>
      <c r="M12" s="8"/>
      <c r="N12" s="11"/>
      <c r="O12" s="11"/>
      <c r="P12" s="11"/>
      <c r="Q12" s="11"/>
      <c r="R12" s="11"/>
      <c r="S12" s="11"/>
    </row>
    <row r="13" ht="12" customHeight="1" spans="1:19" x14ac:dyDescent="0.25">
      <c r="A13" s="12"/>
      <c r="B13" s="11"/>
      <c r="C13" s="11" t="s">
        <v>68</v>
      </c>
      <c r="D13" s="11"/>
      <c r="E13" s="11"/>
      <c r="F13" s="13">
        <v>46234</v>
      </c>
      <c r="G13" s="13">
        <v>38717</v>
      </c>
      <c r="H13" s="11"/>
      <c r="I13" s="11"/>
      <c r="J13" s="11"/>
      <c r="K13" s="11"/>
      <c r="L13" s="14">
        <f>+F13</f>
        <v>46234</v>
      </c>
      <c r="M13" s="15">
        <v>38717</v>
      </c>
      <c r="N13" s="11"/>
      <c r="O13" s="11"/>
      <c r="P13" s="11"/>
      <c r="Q13" s="11"/>
      <c r="R13" s="11"/>
      <c r="S13" s="11"/>
    </row>
    <row r="14" ht="12" customHeight="1" spans="1:19" x14ac:dyDescent="0.25">
      <c r="A14" s="12"/>
      <c r="B14" s="16" t="s">
        <v>221</v>
      </c>
      <c r="C14" s="11"/>
      <c r="D14" s="11"/>
      <c r="E14" s="11"/>
      <c r="F14" s="17"/>
      <c r="G14" s="17"/>
      <c r="H14" s="11"/>
      <c r="I14" s="16" t="s">
        <v>46</v>
      </c>
      <c r="J14" s="11"/>
      <c r="K14" s="11"/>
      <c r="L14" s="18"/>
      <c r="M14" s="19"/>
      <c r="N14" s="11"/>
      <c r="O14" s="11"/>
      <c r="P14" s="11"/>
      <c r="Q14" s="11"/>
      <c r="R14" s="11"/>
      <c r="S14" s="11"/>
    </row>
    <row r="15" ht="12" customHeight="1" spans="1:19" x14ac:dyDescent="0.25">
      <c r="A15" s="12"/>
      <c r="B15" s="11"/>
      <c r="C15" s="16" t="s">
        <v>222</v>
      </c>
      <c r="D15" s="11"/>
      <c r="E15" s="11"/>
      <c r="F15" s="20"/>
      <c r="G15" s="20"/>
      <c r="H15" s="11"/>
      <c r="I15" s="16" t="s">
        <v>223</v>
      </c>
      <c r="J15" s="11"/>
      <c r="K15" s="11"/>
      <c r="L15" s="21"/>
      <c r="M15" s="11"/>
      <c r="N15" s="11"/>
      <c r="O15" s="11"/>
      <c r="P15" s="11"/>
      <c r="Q15" s="11"/>
      <c r="R15" s="11"/>
      <c r="S15" s="11"/>
    </row>
    <row r="16" ht="12" customHeight="1" spans="1:19" x14ac:dyDescent="0.25">
      <c r="A16" s="12"/>
      <c r="B16" s="11"/>
      <c r="C16" s="11"/>
      <c r="D16" s="11" t="s">
        <v>224</v>
      </c>
      <c r="E16" s="11"/>
      <c r="F16" s="22">
        <f>+Activo!F18</f>
        <v>5098685.79</v>
      </c>
      <c r="G16" s="22"/>
      <c r="H16" s="11"/>
      <c r="I16" s="11"/>
      <c r="J16" s="11" t="s">
        <v>225</v>
      </c>
      <c r="K16" s="11"/>
      <c r="L16" s="23"/>
      <c r="M16" s="11"/>
      <c r="N16" s="11"/>
      <c r="O16" s="11"/>
      <c r="P16" s="11"/>
      <c r="Q16" s="11"/>
      <c r="R16" s="11"/>
      <c r="S16" s="11"/>
    </row>
    <row r="17" ht="12" customHeight="1" spans="1:19" x14ac:dyDescent="0.25">
      <c r="A17" s="12"/>
      <c r="B17" s="11"/>
      <c r="C17" s="11"/>
      <c r="D17" s="11" t="s">
        <v>226</v>
      </c>
      <c r="E17" s="11"/>
      <c r="F17" s="22">
        <f>+Activo!F23</f>
        <v>18111832.17</v>
      </c>
      <c r="G17" s="22"/>
      <c r="H17" s="11"/>
      <c r="I17" s="11"/>
      <c r="J17" s="11"/>
      <c r="K17" s="11" t="s">
        <v>227</v>
      </c>
      <c r="L17" s="23">
        <f>+Pasivo!E10</f>
        <v>576258066.05</v>
      </c>
      <c r="M17" s="11"/>
      <c r="N17" s="24"/>
      <c r="O17" s="11"/>
      <c r="P17" s="11"/>
      <c r="Q17" s="11"/>
      <c r="R17" s="11"/>
      <c r="S17" s="11"/>
    </row>
    <row r="18" ht="12" customHeight="1" spans="1:19" x14ac:dyDescent="0.25">
      <c r="A18" s="12"/>
      <c r="B18" s="11"/>
      <c r="C18" s="11"/>
      <c r="D18" s="11" t="s">
        <v>228</v>
      </c>
      <c r="E18" s="11"/>
      <c r="F18" s="22">
        <f>+Activo!F30</f>
        <v>1109782.15</v>
      </c>
      <c r="G18" s="22"/>
      <c r="H18" s="11"/>
      <c r="I18" s="11"/>
      <c r="J18" s="11"/>
      <c r="K18" s="11" t="s">
        <v>229</v>
      </c>
      <c r="L18" s="23">
        <f>+Pasivo!E16</f>
        <v>13528940.040000001</v>
      </c>
      <c r="M18" s="11"/>
      <c r="N18" s="24"/>
      <c r="O18" s="24"/>
      <c r="P18" s="11"/>
      <c r="Q18" s="11"/>
      <c r="R18" s="11"/>
      <c r="S18" s="11"/>
    </row>
    <row r="19" ht="12" customHeight="1" spans="1:19" x14ac:dyDescent="0.25">
      <c r="A19" s="12"/>
      <c r="B19" s="11"/>
      <c r="C19" s="11"/>
      <c r="D19" s="11" t="s">
        <v>230</v>
      </c>
      <c r="E19" s="11"/>
      <c r="F19" s="22">
        <f>+Activo!F53</f>
        <v>47256026.31</v>
      </c>
      <c r="G19" s="22"/>
      <c r="H19" s="11"/>
      <c r="I19" s="11"/>
      <c r="J19" s="11"/>
      <c r="K19" s="11" t="s">
        <v>231</v>
      </c>
      <c r="L19" s="23">
        <f>+Pasivo!E24</f>
        <v>1374822.44</v>
      </c>
      <c r="M19" s="11"/>
      <c r="N19" s="11"/>
      <c r="O19" s="11"/>
      <c r="P19" s="11"/>
      <c r="Q19" s="11"/>
      <c r="R19" s="11"/>
      <c r="S19" s="11"/>
    </row>
    <row r="20" ht="12" customHeight="1" hidden="1" spans="1:19" x14ac:dyDescent="0.25">
      <c r="A20" s="12"/>
      <c r="B20" s="11"/>
      <c r="C20" s="11"/>
      <c r="D20" s="11"/>
      <c r="E20" s="11"/>
      <c r="F20" s="22"/>
      <c r="G20" s="22"/>
      <c r="H20" s="11"/>
      <c r="I20" s="11"/>
      <c r="J20" s="11"/>
      <c r="K20" s="11" t="s">
        <v>232</v>
      </c>
      <c r="L20" s="23">
        <f>+Pasivo!E33</f>
        <v>0</v>
      </c>
      <c r="M20" s="11"/>
      <c r="N20" s="11"/>
      <c r="O20" s="11"/>
      <c r="P20" s="11"/>
      <c r="Q20" s="11"/>
      <c r="R20" s="11"/>
      <c r="S20" s="11"/>
    </row>
    <row r="21" ht="12" customHeight="1" spans="1:19" x14ac:dyDescent="0.25">
      <c r="A21" s="12"/>
      <c r="B21" s="11"/>
      <c r="C21" s="11"/>
      <c r="D21" s="11"/>
      <c r="E21" s="11"/>
      <c r="F21" s="22"/>
      <c r="G21" s="22"/>
      <c r="H21" s="11"/>
      <c r="I21" s="11"/>
      <c r="J21" s="11"/>
      <c r="K21" s="11"/>
      <c r="L21" s="23"/>
      <c r="M21" s="11"/>
      <c r="N21" s="11"/>
      <c r="O21" s="11"/>
      <c r="P21" s="11"/>
      <c r="Q21" s="11"/>
      <c r="R21" s="11"/>
      <c r="S21" s="11"/>
    </row>
    <row r="22" ht="12" customHeight="1" spans="1:19" x14ac:dyDescent="0.25">
      <c r="A22" s="12"/>
      <c r="B22" s="11"/>
      <c r="C22" s="11"/>
      <c r="D22" s="11"/>
      <c r="E22" s="11"/>
      <c r="F22" s="22"/>
      <c r="G22" s="22"/>
      <c r="H22" s="11"/>
      <c r="I22" s="11"/>
      <c r="J22" s="11"/>
      <c r="K22" s="11"/>
      <c r="L22" s="23"/>
      <c r="M22" s="11"/>
      <c r="N22" s="11"/>
      <c r="O22" s="24"/>
      <c r="P22" s="24"/>
      <c r="Q22" s="11"/>
      <c r="R22" s="11"/>
      <c r="S22" s="11"/>
    </row>
    <row r="23" ht="12" customHeight="1" spans="1:19" x14ac:dyDescent="0.25">
      <c r="A23" s="12"/>
      <c r="B23" s="11"/>
      <c r="C23" s="16" t="s">
        <v>233</v>
      </c>
      <c r="D23" s="11"/>
      <c r="E23" s="11"/>
      <c r="F23" s="25">
        <f>SUM(F16:F19)</f>
        <v>71576326.42</v>
      </c>
      <c r="G23" s="22"/>
      <c r="H23" s="11"/>
      <c r="I23" s="16" t="s">
        <v>234</v>
      </c>
      <c r="J23" s="11"/>
      <c r="K23" s="11"/>
      <c r="L23" s="26">
        <f>SUM(L17:L22)</f>
        <v>591161828.53</v>
      </c>
      <c r="M23" s="11"/>
      <c r="N23" s="24"/>
      <c r="O23" s="27"/>
      <c r="P23" s="24"/>
      <c r="Q23" s="11"/>
      <c r="R23" s="11"/>
      <c r="S23" s="11"/>
    </row>
    <row r="24" ht="12" customHeight="1" spans="1:19" x14ac:dyDescent="0.25">
      <c r="A24" s="12"/>
      <c r="B24" s="11"/>
      <c r="C24" s="11"/>
      <c r="D24" s="11"/>
      <c r="E24" s="28"/>
      <c r="F24" s="22"/>
      <c r="G24" s="22"/>
      <c r="H24" s="11"/>
      <c r="I24" s="16" t="s">
        <v>235</v>
      </c>
      <c r="J24" s="11"/>
      <c r="K24" s="11"/>
      <c r="L24" s="29">
        <f>+L23</f>
        <v>591161828.53</v>
      </c>
      <c r="M24" s="11"/>
      <c r="N24" s="30"/>
      <c r="O24" s="24"/>
      <c r="P24" s="31"/>
      <c r="Q24" s="11"/>
      <c r="R24" s="11"/>
      <c r="S24" s="11"/>
    </row>
    <row r="25" ht="12" customHeight="1" spans="1:19" x14ac:dyDescent="0.25">
      <c r="A25" s="12"/>
      <c r="B25" s="11"/>
      <c r="C25" s="11"/>
      <c r="D25" s="11"/>
      <c r="E25" s="11"/>
      <c r="F25" s="22"/>
      <c r="G25" s="22"/>
      <c r="H25" s="11"/>
      <c r="I25" s="11"/>
      <c r="J25" s="11"/>
      <c r="K25" s="11"/>
      <c r="L25" s="23"/>
      <c r="M25" s="11"/>
      <c r="N25" s="11"/>
      <c r="O25" s="11"/>
      <c r="P25" s="11"/>
      <c r="Q25" s="11"/>
      <c r="R25" s="11"/>
      <c r="S25" s="11"/>
    </row>
    <row r="26" ht="12" customHeight="1" spans="1:19" x14ac:dyDescent="0.25">
      <c r="A26" s="12"/>
      <c r="B26" s="11"/>
      <c r="C26" s="11" t="s">
        <v>68</v>
      </c>
      <c r="D26" s="11"/>
      <c r="E26" s="11"/>
      <c r="F26" s="20"/>
      <c r="G26" s="20"/>
      <c r="H26" s="11"/>
      <c r="I26" s="11"/>
      <c r="J26" s="11"/>
      <c r="K26" s="11"/>
      <c r="L26" s="23"/>
      <c r="M26" s="11"/>
      <c r="N26" s="11"/>
      <c r="O26" s="11"/>
      <c r="P26" s="11"/>
      <c r="Q26" s="11"/>
      <c r="R26" s="11"/>
      <c r="S26" s="11"/>
    </row>
    <row r="27" spans="1:19" x14ac:dyDescent="0.25">
      <c r="A27" s="12"/>
      <c r="B27" s="11"/>
      <c r="C27" s="16" t="s">
        <v>236</v>
      </c>
      <c r="D27" s="11"/>
      <c r="E27" s="11"/>
      <c r="F27" s="22"/>
      <c r="G27" s="22"/>
      <c r="H27" s="11"/>
      <c r="I27" s="11"/>
      <c r="J27" s="11"/>
      <c r="K27" s="11"/>
      <c r="L27" s="23"/>
      <c r="M27" s="11"/>
      <c r="N27" s="11"/>
      <c r="O27" s="32"/>
      <c r="P27" s="11"/>
      <c r="Q27" s="11"/>
      <c r="R27" s="11"/>
      <c r="S27" s="11"/>
    </row>
    <row r="28" ht="12" customHeight="1" spans="1:19" x14ac:dyDescent="0.25">
      <c r="A28" s="12"/>
      <c r="B28" s="11"/>
      <c r="C28" s="11"/>
      <c r="D28" s="11" t="s">
        <v>237</v>
      </c>
      <c r="E28" s="11"/>
      <c r="F28" s="22">
        <f>+'Anexo I'!K21</f>
        <v>77476985.6</v>
      </c>
      <c r="G28" s="22"/>
      <c r="H28" s="11"/>
      <c r="I28" s="11" t="s">
        <v>238</v>
      </c>
      <c r="J28" s="11"/>
      <c r="K28" s="11"/>
      <c r="L28" s="23">
        <f>+EEPN!J17</f>
        <v>-442108516.52999985</v>
      </c>
      <c r="M28" s="24"/>
      <c r="N28" s="24"/>
      <c r="O28" s="24"/>
      <c r="P28" s="24"/>
      <c r="Q28" s="11"/>
      <c r="R28" s="11"/>
      <c r="S28" s="11"/>
    </row>
    <row r="29" ht="12" customHeight="1" spans="1:19" x14ac:dyDescent="0.25">
      <c r="A29" s="12"/>
      <c r="B29" s="11"/>
      <c r="C29" s="11"/>
      <c r="D29" s="11"/>
      <c r="E29" s="11"/>
      <c r="F29" s="22"/>
      <c r="G29" s="22"/>
      <c r="H29" s="11"/>
      <c r="I29" s="11"/>
      <c r="J29" s="11"/>
      <c r="K29" s="11"/>
      <c r="L29" s="23"/>
      <c r="M29" s="24"/>
      <c r="N29" s="11"/>
      <c r="O29" s="27"/>
      <c r="P29" s="24"/>
      <c r="Q29" s="11"/>
      <c r="R29" s="11"/>
      <c r="S29" s="11"/>
    </row>
    <row r="30" ht="12" customHeight="1" spans="1:19" x14ac:dyDescent="0.25">
      <c r="A30" s="12"/>
      <c r="B30" s="11"/>
      <c r="C30" s="16" t="s">
        <v>239</v>
      </c>
      <c r="D30" s="11"/>
      <c r="E30" s="11"/>
      <c r="F30" s="25">
        <f>SUM(F28:F29)</f>
        <v>77476985.6</v>
      </c>
      <c r="G30" s="22"/>
      <c r="H30" s="11"/>
      <c r="I30" s="11"/>
      <c r="J30" s="11"/>
      <c r="K30" s="11" t="s">
        <v>68</v>
      </c>
      <c r="L30" s="26">
        <f>+L28</f>
        <v>-442108516.52999985</v>
      </c>
      <c r="M30" s="11"/>
      <c r="N30" s="11"/>
      <c r="O30" s="11"/>
      <c r="P30" s="11"/>
      <c r="Q30" s="11"/>
      <c r="R30" s="33"/>
      <c r="S30" s="34"/>
    </row>
    <row r="31" ht="12" customHeight="1" spans="1:19" x14ac:dyDescent="0.25">
      <c r="A31" s="12"/>
      <c r="B31" s="11"/>
      <c r="C31" s="11"/>
      <c r="D31" s="11"/>
      <c r="E31" s="11"/>
      <c r="F31" s="22"/>
      <c r="G31" s="22"/>
      <c r="H31" s="11"/>
      <c r="I31" s="11"/>
      <c r="J31" s="11"/>
      <c r="K31" s="11"/>
      <c r="L31" s="23"/>
      <c r="M31" s="11"/>
      <c r="N31" s="11"/>
      <c r="O31" s="11"/>
      <c r="P31" s="11"/>
      <c r="Q31" s="11"/>
      <c r="R31" s="24"/>
      <c r="S31" s="11"/>
    </row>
    <row r="32" ht="12.6" customHeight="1" spans="1:19" x14ac:dyDescent="0.25">
      <c r="A32" s="35"/>
      <c r="B32" s="36"/>
      <c r="C32" s="37" t="s">
        <v>240</v>
      </c>
      <c r="D32" s="11"/>
      <c r="E32" s="36"/>
      <c r="F32" s="38">
        <f>+F23+F30-0.02</f>
        <v>149053311.99999997</v>
      </c>
      <c r="G32" s="38"/>
      <c r="H32" s="36"/>
      <c r="I32" s="37" t="s">
        <v>241</v>
      </c>
      <c r="J32" s="36"/>
      <c r="K32" s="36"/>
      <c r="L32" s="39">
        <f>+L24+L30</f>
        <v>149053312.00000012</v>
      </c>
      <c r="M32" s="36"/>
      <c r="N32" s="24"/>
      <c r="O32" s="24"/>
      <c r="P32" s="24"/>
      <c r="Q32" s="11"/>
      <c r="R32" s="11"/>
      <c r="S32" s="11"/>
    </row>
    <row r="33" ht="13.8" customHeight="1" spans="1:19" x14ac:dyDescent="0.25">
      <c r="A33" s="40" t="s">
        <v>242</v>
      </c>
      <c r="B33" s="4"/>
      <c r="C33" s="4"/>
      <c r="D33" s="41"/>
      <c r="E33" s="4"/>
      <c r="F33" s="4"/>
      <c r="G33" s="4"/>
      <c r="H33" s="4"/>
      <c r="I33" s="4"/>
      <c r="J33" s="4"/>
      <c r="K33" s="4"/>
      <c r="L33" s="42"/>
      <c r="M33" s="4"/>
      <c r="N33" s="6"/>
      <c r="O33" s="6"/>
      <c r="P33" s="6"/>
      <c r="Q33" s="6"/>
      <c r="R33" s="6"/>
      <c r="S33" s="6"/>
    </row>
    <row r="34" spans="1:19" x14ac:dyDescent="0.25">
      <c r="A34" s="40" t="s">
        <v>243</v>
      </c>
      <c r="B34" s="4"/>
      <c r="C34" s="4"/>
      <c r="D34" s="4"/>
      <c r="E34" s="4"/>
      <c r="F34" s="32"/>
      <c r="G34" s="4"/>
      <c r="H34" s="4"/>
      <c r="I34" s="4"/>
      <c r="J34" s="4"/>
      <c r="K34" s="4"/>
      <c r="L34" s="43"/>
      <c r="M34" s="4"/>
      <c r="N34" s="42"/>
      <c r="O34" s="6"/>
      <c r="P34" s="6"/>
      <c r="Q34" s="6"/>
      <c r="R34" s="6"/>
      <c r="S34" s="6"/>
    </row>
    <row r="35" spans="1:19" x14ac:dyDescent="0.25">
      <c r="A35" s="4"/>
      <c r="B35" s="4"/>
      <c r="C35" s="4"/>
      <c r="D35" s="4"/>
      <c r="E35" s="4"/>
      <c r="F35" s="32"/>
      <c r="G35" s="4"/>
      <c r="H35" s="4"/>
      <c r="I35" s="4"/>
      <c r="J35" s="4"/>
      <c r="K35" s="32"/>
      <c r="L35" s="32"/>
      <c r="M35" s="4"/>
      <c r="N35" s="42"/>
      <c r="O35" s="6"/>
      <c r="P35" s="6"/>
      <c r="Q35" s="6"/>
      <c r="R35" s="6"/>
      <c r="S35" s="6"/>
    </row>
    <row r="36" spans="1:19" x14ac:dyDescent="0.25">
      <c r="A36" s="4"/>
      <c r="B36" s="4"/>
      <c r="C36" s="4"/>
      <c r="D36" s="4"/>
      <c r="E36" s="4"/>
      <c r="F36" s="32"/>
      <c r="G36" s="4"/>
      <c r="H36" s="4"/>
      <c r="I36" s="4"/>
      <c r="J36" s="4"/>
      <c r="K36" s="44"/>
      <c r="L36" s="32"/>
      <c r="M36" s="4"/>
      <c r="N36" s="6"/>
      <c r="O36" s="6"/>
      <c r="P36" s="6"/>
      <c r="Q36" s="6"/>
      <c r="R36" s="6"/>
      <c r="S36" s="6"/>
    </row>
    <row r="37" spans="1:19" x14ac:dyDescent="0.25">
      <c r="A37" s="4"/>
      <c r="B37" s="4"/>
      <c r="C37" s="4"/>
      <c r="D37" s="4"/>
      <c r="E37" s="4"/>
      <c r="F37" s="32"/>
      <c r="G37" s="4"/>
      <c r="H37" s="4"/>
      <c r="I37" s="4"/>
      <c r="J37" s="4"/>
      <c r="K37" s="32"/>
      <c r="L37" s="32"/>
      <c r="M37" s="4"/>
      <c r="N37" s="6"/>
      <c r="O37" s="6"/>
      <c r="P37" s="6"/>
      <c r="Q37" s="6"/>
      <c r="R37" s="6"/>
      <c r="S37" s="6"/>
    </row>
    <row r="38" spans="1:19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32"/>
      <c r="M38" s="4"/>
      <c r="N38" s="32"/>
      <c r="O38" s="4"/>
      <c r="P38" s="4"/>
      <c r="Q38" s="4"/>
      <c r="R38" s="4"/>
      <c r="S38" s="4"/>
    </row>
    <row r="39" spans="1:19" x14ac:dyDescent="0.25">
      <c r="A39" s="4"/>
      <c r="B39" s="4"/>
      <c r="C39" s="4"/>
      <c r="D39" s="4"/>
      <c r="E39" s="45" t="s">
        <v>244</v>
      </c>
      <c r="F39" s="40"/>
      <c r="G39" s="40"/>
      <c r="H39" s="40"/>
      <c r="I39" s="40"/>
      <c r="J39" s="40"/>
      <c r="K39" s="45" t="s">
        <v>245</v>
      </c>
      <c r="L39" s="4"/>
      <c r="M39" s="4"/>
      <c r="N39" s="32"/>
      <c r="O39" s="4"/>
      <c r="P39" s="4"/>
      <c r="Q39" s="4"/>
      <c r="R39" s="4"/>
      <c r="S39" s="4"/>
    </row>
    <row r="40" spans="1:19" x14ac:dyDescent="0.25">
      <c r="A40" s="4"/>
      <c r="B40" s="4"/>
      <c r="C40" s="4"/>
      <c r="D40" s="40"/>
      <c r="E40" s="45" t="s">
        <v>246</v>
      </c>
      <c r="F40" s="40"/>
      <c r="G40" s="40"/>
      <c r="H40" s="40"/>
      <c r="I40" s="40"/>
      <c r="J40" s="40"/>
      <c r="K40" s="45" t="s">
        <v>247</v>
      </c>
      <c r="L40" s="4"/>
      <c r="M40" s="4"/>
      <c r="N40" s="44"/>
      <c r="O40" s="4"/>
      <c r="P40" s="4"/>
      <c r="Q40" s="4"/>
      <c r="R40" s="4"/>
      <c r="S40" s="4"/>
    </row>
    <row r="41" spans="1:19" x14ac:dyDescent="0.25">
      <c r="A41" s="4"/>
      <c r="B41" s="4"/>
      <c r="C41" s="4"/>
      <c r="D41" s="40"/>
      <c r="E41" s="45" t="s">
        <v>248</v>
      </c>
      <c r="F41" s="40"/>
      <c r="G41" s="40"/>
      <c r="H41" s="40"/>
      <c r="I41" s="40"/>
      <c r="J41" s="40"/>
      <c r="K41" s="45" t="s">
        <v>249</v>
      </c>
      <c r="L41" s="4"/>
      <c r="M41" s="4"/>
      <c r="N41" s="4"/>
      <c r="O41" s="4"/>
      <c r="P41" s="4"/>
      <c r="Q41" s="4"/>
      <c r="R41" s="4"/>
      <c r="S41" s="4"/>
    </row>
    <row r="42" spans="1:19" x14ac:dyDescent="0.25">
      <c r="A42" s="4"/>
      <c r="B42" s="4"/>
      <c r="C42" s="4"/>
      <c r="D42" s="40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</row>
    <row r="43" spans="1:19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</row>
    <row r="44" spans="1:19" x14ac:dyDescent="0.25">
      <c r="A44" s="4"/>
      <c r="B44" s="4"/>
      <c r="C44" s="4"/>
      <c r="D44" s="4"/>
      <c r="E44" s="4"/>
      <c r="F44" s="30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</row>
    <row r="45" spans="1:19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</row>
    <row r="46" spans="1:19" x14ac:dyDescent="0.25">
      <c r="A46" s="4"/>
      <c r="B46" s="4"/>
      <c r="C46" s="4"/>
      <c r="D46" s="4"/>
      <c r="E46" s="4"/>
      <c r="F46" s="32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</row>
    <row r="47" spans="1:19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</row>
    <row r="48" spans="1:19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1:19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1:19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1:19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4"/>
      <c r="M51" s="4"/>
      <c r="N51" s="44"/>
      <c r="O51" s="46"/>
      <c r="P51" s="46"/>
      <c r="Q51" s="4"/>
      <c r="R51" s="4"/>
      <c r="S51" s="4"/>
    </row>
    <row r="52" spans="1:19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4"/>
      <c r="M52" s="4"/>
      <c r="N52" s="4"/>
      <c r="O52" s="4"/>
      <c r="P52" s="4"/>
      <c r="Q52" s="4"/>
      <c r="R52" s="4"/>
      <c r="S52" s="4"/>
    </row>
    <row r="53" spans="1:19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7"/>
      <c r="P53" s="4"/>
      <c r="Q53" s="4"/>
      <c r="R53" s="4"/>
      <c r="S53" s="4"/>
    </row>
    <row r="54" spans="1:19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4"/>
      <c r="O54" s="4"/>
      <c r="P54" s="4"/>
      <c r="Q54" s="4"/>
      <c r="R54" s="4"/>
      <c r="S54" s="4"/>
    </row>
  </sheetData>
  <mergeCells count="3">
    <mergeCell ref="A5:L5"/>
    <mergeCell ref="A7:L7"/>
    <mergeCell ref="A9:L9"/>
  </mergeCells>
  <pageMargins left="0.75" right="0.75" top="0.35" bottom="1" header="0" footer="0"/>
  <pageSetup paperSize="9" orientation="landscape" horizontalDpi="1200" verticalDpi="1200" scale="89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Views>
    <sheetView workbookViewId="0" zoomScale="100" zoomScaleNormal="100"/>
  </sheetViews>
  <sheetFormatPr defaultRowHeight="0" outlineLevelRow="0" outlineLevelCol="0" x14ac:dyDescent="0" customHeight="1"/>
  <cols>
    <col min="1" max="1" width="38.33203125" customWidth="1"/>
    <col min="2" max="2" width="6" customWidth="1"/>
    <col min="3" max="3" width="19" customWidth="1"/>
    <col min="4" max="4" width="12.109375" hidden="1" customWidth="1"/>
    <col min="5" max="5" width="13.6640625" customWidth="1"/>
    <col min="6" max="6" width="12.33203125" customWidth="1"/>
    <col min="7" max="8" width="14.33203125" customWidth="1"/>
    <col min="9" max="257" width="9.109375" customWidth="1"/>
  </cols>
  <sheetData>
    <row r="1" spans="1:8" x14ac:dyDescent="0.25"/>
    <row r="2" spans="1:8" x14ac:dyDescent="0.25"/>
    <row r="3" spans="1:8" x14ac:dyDescent="0.25"/>
    <row r="4" spans="1:8" x14ac:dyDescent="0.25">
      <c r="A4" s="5" t="s">
        <v>218</v>
      </c>
      <c r="B4" s="5"/>
      <c r="C4" s="5"/>
      <c r="D4" s="5"/>
      <c r="E4" s="48"/>
      <c r="F4" s="48"/>
      <c r="G4" s="48"/>
      <c r="H4" s="48"/>
    </row>
    <row r="5" spans="1:8" x14ac:dyDescent="0.25">
      <c r="A5" s="5"/>
      <c r="B5" s="5"/>
      <c r="C5" s="5"/>
      <c r="D5" s="5"/>
      <c r="E5" s="5"/>
      <c r="F5" s="5"/>
      <c r="G5" s="5"/>
      <c r="H5" s="5"/>
    </row>
    <row r="6" spans="1:8" x14ac:dyDescent="0.25">
      <c r="A6" s="5" t="str">
        <f>+EESP!A7</f>
        <v>Al 31 de Julio del 2026</v>
      </c>
      <c r="B6" s="5"/>
      <c r="C6" s="5"/>
      <c r="D6" s="5"/>
      <c r="E6" s="48"/>
      <c r="F6" s="48"/>
      <c r="G6" s="48"/>
      <c r="H6" s="48"/>
    </row>
    <row r="7" spans="1:8" x14ac:dyDescent="0.25"/>
    <row r="8" spans="1:8" x14ac:dyDescent="0.25">
      <c r="A8" s="5" t="s">
        <v>250</v>
      </c>
      <c r="B8" s="5"/>
      <c r="C8" s="5"/>
      <c r="D8" s="5"/>
      <c r="E8" s="48"/>
      <c r="F8" s="48"/>
      <c r="G8" s="48"/>
      <c r="H8" s="48"/>
    </row>
    <row r="9" spans="1:8" x14ac:dyDescent="0.25"/>
    <row r="10" ht="13.8" customHeight="1" spans="1:8" x14ac:dyDescent="0.25"/>
    <row r="11" ht="13.8" customHeight="1" spans="1:8" x14ac:dyDescent="0.25">
      <c r="A11" s="7"/>
      <c r="B11" s="8"/>
      <c r="C11" s="10"/>
      <c r="D11" s="49"/>
    </row>
    <row r="12" spans="1:8" x14ac:dyDescent="0.25">
      <c r="A12" s="12"/>
      <c r="B12" s="11"/>
      <c r="C12" s="14">
        <f>+EESP!F13</f>
        <v>46234</v>
      </c>
      <c r="D12" s="50">
        <f>+EESP!G13</f>
        <v>38717</v>
      </c>
    </row>
    <row r="13" spans="1:8" x14ac:dyDescent="0.25">
      <c r="A13" s="12"/>
      <c r="B13" s="11"/>
      <c r="C13" s="18"/>
      <c r="D13" s="51"/>
    </row>
    <row r="14" spans="1:8" x14ac:dyDescent="0.25">
      <c r="A14" s="12"/>
      <c r="B14" s="11"/>
      <c r="C14" s="21"/>
      <c r="D14" s="4"/>
    </row>
    <row r="15" spans="1:8" x14ac:dyDescent="0.25">
      <c r="A15" s="12" t="s">
        <v>251</v>
      </c>
      <c r="B15" s="11"/>
      <c r="C15" s="23">
        <f>+SALDOS!D115</f>
        <v>31238042.84</v>
      </c>
      <c r="D15" s="4"/>
      <c r="E15" s="32"/>
    </row>
    <row r="16" spans="1:8" x14ac:dyDescent="0.25">
      <c r="A16" s="12"/>
      <c r="B16" s="11"/>
      <c r="C16" s="23"/>
      <c r="D16" s="4"/>
    </row>
    <row r="17" spans="1:8" x14ac:dyDescent="0.25">
      <c r="A17" s="12" t="s">
        <v>252</v>
      </c>
      <c r="B17" s="11" t="s">
        <v>68</v>
      </c>
      <c r="C17" s="23">
        <f>+'Anexo II'!E85</f>
        <v>537188320.0699999</v>
      </c>
      <c r="D17" s="4"/>
      <c r="E17" s="44"/>
    </row>
    <row r="18" spans="1:8" x14ac:dyDescent="0.25">
      <c r="A18" s="12" t="s">
        <v>253</v>
      </c>
      <c r="B18" s="11"/>
      <c r="C18" s="23">
        <f>+'Anexo II'!D85</f>
        <v>66231302.71</v>
      </c>
      <c r="D18" s="4"/>
      <c r="E18" s="32"/>
    </row>
    <row r="19" spans="1:8" x14ac:dyDescent="0.25">
      <c r="A19" s="12" t="s">
        <v>254</v>
      </c>
      <c r="B19" s="11"/>
      <c r="C19" s="23">
        <f>+'Anexo II'!F85</f>
        <v>8329025.390000001</v>
      </c>
      <c r="D19" s="32"/>
      <c r="E19" s="32"/>
    </row>
    <row r="20" spans="1:8" x14ac:dyDescent="0.25">
      <c r="A20" s="12"/>
      <c r="B20" s="11"/>
      <c r="C20" s="23"/>
      <c r="D20" s="4"/>
    </row>
    <row r="21" spans="1:8" x14ac:dyDescent="0.25">
      <c r="A21" s="12" t="s">
        <v>255</v>
      </c>
      <c r="B21" s="11"/>
      <c r="C21" s="26">
        <f>+C15-C17-C18-C19</f>
        <v>-580510605.3299999</v>
      </c>
      <c r="D21" s="32"/>
    </row>
    <row r="22" spans="1:8" x14ac:dyDescent="0.25">
      <c r="A22" s="12" t="s">
        <v>256</v>
      </c>
      <c r="B22" s="11"/>
      <c r="C22" s="23">
        <f>+SALDOS!D120</f>
        <v>0</v>
      </c>
      <c r="D22" s="4"/>
    </row>
    <row r="23" spans="1:8" x14ac:dyDescent="0.25">
      <c r="A23" s="12" t="s">
        <v>257</v>
      </c>
      <c r="B23" s="11"/>
      <c r="C23" s="23">
        <f>+SALDOS!D118</f>
        <v>0</v>
      </c>
      <c r="D23" s="4"/>
    </row>
    <row r="24" spans="1:8" x14ac:dyDescent="0.25">
      <c r="A24" s="12" t="s">
        <v>258</v>
      </c>
      <c r="B24" s="11"/>
      <c r="C24" s="23">
        <f>+SALDOS!C121-SALDOS!D121</f>
        <v>0</v>
      </c>
      <c r="D24" s="4"/>
    </row>
    <row r="25" spans="1:8" x14ac:dyDescent="0.25">
      <c r="A25" s="12" t="s">
        <v>259</v>
      </c>
      <c r="B25" s="11"/>
      <c r="C25" s="23">
        <f>+SALDOS!D117+SALDOS!D122+SALDOS!D116</f>
        <v>6015262.33</v>
      </c>
      <c r="D25" s="4"/>
    </row>
    <row r="26" spans="1:8" x14ac:dyDescent="0.25">
      <c r="A26" s="12" t="s">
        <v>260</v>
      </c>
      <c r="B26" s="11"/>
      <c r="C26" s="23">
        <f>+SALDOS!D204</f>
        <v>0</v>
      </c>
      <c r="D26" s="4"/>
    </row>
    <row r="27" spans="1:8" x14ac:dyDescent="0.25">
      <c r="A27" s="12" t="s">
        <v>261</v>
      </c>
      <c r="B27" s="11"/>
      <c r="C27" s="26">
        <f>+C21+C22-C24+C23+C25+C26</f>
        <v>-574495342.9999999</v>
      </c>
      <c r="D27" s="4"/>
      <c r="E27" s="32"/>
      <c r="F27" s="32"/>
    </row>
    <row r="28" spans="1:8" x14ac:dyDescent="0.25">
      <c r="A28" s="12" t="s">
        <v>262</v>
      </c>
      <c r="B28" s="11"/>
      <c r="C28" s="23">
        <v>0</v>
      </c>
      <c r="D28" s="4"/>
    </row>
    <row r="29" spans="1:8" x14ac:dyDescent="0.25">
      <c r="A29" s="12"/>
      <c r="B29" s="11"/>
      <c r="C29" s="23"/>
      <c r="D29" s="4"/>
    </row>
    <row r="30" spans="1:8" x14ac:dyDescent="0.25">
      <c r="A30" s="12" t="s">
        <v>263</v>
      </c>
      <c r="B30" s="11"/>
      <c r="C30" s="26">
        <f>+C27-C28</f>
        <v>-574495342.9999999</v>
      </c>
      <c r="D30" s="4"/>
      <c r="E30" s="27"/>
      <c r="F30" s="30"/>
      <c r="G30" s="32"/>
      <c r="H30" s="32"/>
    </row>
    <row r="31" spans="1:8" x14ac:dyDescent="0.25">
      <c r="A31" s="12"/>
      <c r="B31" s="11"/>
      <c r="C31" s="52"/>
      <c r="D31" s="4"/>
      <c r="E31" s="32"/>
      <c r="G31" s="53"/>
      <c r="H31" s="32"/>
    </row>
    <row r="32" ht="13.8" customHeight="1" spans="1:8" x14ac:dyDescent="0.25">
      <c r="A32" s="35"/>
      <c r="B32" s="36"/>
      <c r="C32" s="54"/>
      <c r="D32" s="55"/>
      <c r="G32" s="44"/>
    </row>
    <row r="33" ht="13.8" customHeight="1" spans="1:8" x14ac:dyDescent="0.25"/>
    <row r="34" spans="1:8" x14ac:dyDescent="0.25">
      <c r="A34" s="40" t="s">
        <v>242</v>
      </c>
    </row>
    <row r="35" spans="1:8" x14ac:dyDescent="0.25">
      <c r="A35" s="40" t="s">
        <v>243</v>
      </c>
      <c r="C35" s="32"/>
    </row>
    <row r="36" spans="1:8" x14ac:dyDescent="0.25">
      <c r="A36" s="40"/>
      <c r="C36" s="32"/>
    </row>
    <row r="37" spans="1:8" x14ac:dyDescent="0.25">
      <c r="A37" s="40"/>
    </row>
    <row r="38" spans="1:8" x14ac:dyDescent="0.25">
      <c r="A38" s="40"/>
      <c r="F38" s="32"/>
    </row>
    <row r="39" spans="1:8" x14ac:dyDescent="0.25"/>
    <row r="40" spans="1:8" x14ac:dyDescent="0.25">
      <c r="A40" s="45" t="str">
        <f>+EESP!E39</f>
        <v>Miguel Ángel Alonso</v>
      </c>
      <c r="B40" s="45"/>
      <c r="C40" s="45" t="str">
        <f>+EESP!K39</f>
        <v>Tomas Furlong</v>
      </c>
    </row>
    <row r="41" spans="1:8" x14ac:dyDescent="0.25">
      <c r="A41" s="45" t="str">
        <f>+EESP!E40</f>
        <v>Contador Público (UCA)</v>
      </c>
      <c r="B41" s="45"/>
      <c r="C41" s="45" t="str">
        <f>+EESP!K40</f>
        <v>Transportes Furlong S.A.</v>
      </c>
    </row>
    <row r="42" spans="1:8" x14ac:dyDescent="0.25">
      <c r="A42" s="45" t="str">
        <f>+EESP!E41</f>
        <v>C.P.C.E.C.A.B.A. Tº176 Fº3</v>
      </c>
      <c r="B42" s="45"/>
      <c r="C42" s="45" t="s">
        <v>249</v>
      </c>
    </row>
  </sheetData>
  <mergeCells count="3">
    <mergeCell ref="A4:D4"/>
    <mergeCell ref="A6:D6"/>
    <mergeCell ref="A8:D8"/>
  </mergeCells>
  <pageMargins left="0.75" right="0.75" top="1" bottom="1" header="0" footer="0"/>
  <pageSetup paperSize="9" orientation="portrait" horizontalDpi="1200" verticalDpi="12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0"/>
  <sheetViews>
    <sheetView workbookViewId="0" zoomScale="100" zoomScaleNormal="100"/>
  </sheetViews>
  <sheetFormatPr defaultRowHeight="0" outlineLevelRow="0" outlineLevelCol="0" x14ac:dyDescent="0" customHeight="1"/>
  <cols>
    <col min="1" max="1" width="0.44140625" customWidth="1"/>
    <col min="2" max="2" width="31" customWidth="1"/>
    <col min="3" max="3" width="17.33203125" customWidth="1"/>
    <col min="4" max="4" width="10.44140625" customWidth="1"/>
    <col min="5" max="5" width="8.44140625" customWidth="1"/>
    <col min="6" max="6" width="12.33203125" customWidth="1"/>
    <col min="7" max="7" width="13.6640625" customWidth="1"/>
    <col min="8" max="8" width="16.88671875" customWidth="1"/>
    <col min="9" max="9" width="17.33203125" customWidth="1"/>
    <col min="10" max="10" width="16.88671875" customWidth="1"/>
    <col min="11" max="11" width="14.6640625" hidden="1" customWidth="1"/>
    <col min="12" max="12" width="13.6640625" customWidth="1"/>
    <col min="13" max="14" width="9.109375" customWidth="1"/>
    <col min="15" max="15" width="14.33203125" customWidth="1"/>
    <col min="16" max="257" width="9.109375" customWidth="1"/>
  </cols>
  <sheetData>
    <row r="1" ht="15.6" customHeight="1" spans="1:15" x14ac:dyDescent="0.25">
      <c r="A1" s="56" t="str">
        <f>+EESP!A5</f>
        <v>TRANSPORTES FURLONG S.A</v>
      </c>
      <c r="B1" s="56"/>
      <c r="C1" s="56"/>
      <c r="D1" s="56"/>
      <c r="E1" s="56"/>
      <c r="F1" s="56"/>
      <c r="G1" s="56"/>
      <c r="H1" s="56"/>
      <c r="I1" s="56"/>
      <c r="J1" s="56"/>
      <c r="K1" s="40"/>
      <c r="L1" s="40"/>
      <c r="M1" s="40"/>
      <c r="N1" s="40"/>
      <c r="O1" s="40"/>
    </row>
    <row r="2" spans="1:15" x14ac:dyDescent="0.25">
      <c r="A2" s="57" t="str">
        <f>+EESP!A7</f>
        <v>Al 31 de Julio del 2026</v>
      </c>
      <c r="B2" s="5" t="str">
        <f>+EESP!A7</f>
        <v>Al 31 de Julio del 2026</v>
      </c>
      <c r="C2" s="5"/>
      <c r="D2" s="5"/>
      <c r="E2" s="5"/>
      <c r="F2" s="5"/>
      <c r="G2" s="5"/>
      <c r="H2" s="5"/>
      <c r="I2" s="5"/>
      <c r="J2" s="5"/>
      <c r="K2" s="40"/>
      <c r="L2" s="40"/>
      <c r="M2" s="40"/>
      <c r="N2" s="40"/>
      <c r="O2" s="40"/>
    </row>
    <row r="3" spans="1:15" x14ac:dyDescent="0.25">
      <c r="A3" s="5" t="s">
        <v>264</v>
      </c>
      <c r="B3" s="5"/>
      <c r="C3" s="5"/>
      <c r="D3" s="5"/>
      <c r="E3" s="5"/>
      <c r="F3" s="5"/>
      <c r="G3" s="5"/>
      <c r="H3" s="5"/>
      <c r="I3" s="5"/>
      <c r="J3" s="5"/>
      <c r="K3" s="40"/>
      <c r="L3" s="40"/>
      <c r="M3" s="40"/>
      <c r="N3" s="40"/>
      <c r="O3" s="40"/>
    </row>
    <row r="4" ht="13.8" customHeight="1" spans="1:15" x14ac:dyDescent="0.25">
      <c r="A4" s="40" t="s">
        <v>68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</row>
    <row r="5" ht="13.8" customHeight="1" spans="1:15" x14ac:dyDescent="0.25">
      <c r="A5" s="45"/>
      <c r="B5" s="58"/>
      <c r="C5" s="59" t="s">
        <v>265</v>
      </c>
      <c r="D5" s="60"/>
      <c r="E5" s="60"/>
      <c r="F5" s="59"/>
      <c r="G5" s="60"/>
      <c r="H5" s="61"/>
      <c r="I5" s="61"/>
      <c r="J5" s="62">
        <f>+EESP!F13</f>
        <v>46234</v>
      </c>
      <c r="K5" s="63">
        <f>+EESP!G13</f>
        <v>38717</v>
      </c>
      <c r="L5" s="40"/>
      <c r="M5" s="40"/>
      <c r="N5" s="40"/>
      <c r="O5" s="40"/>
    </row>
    <row r="6" spans="1:15" x14ac:dyDescent="0.25">
      <c r="A6" s="45"/>
      <c r="B6" s="64" t="s">
        <v>266</v>
      </c>
      <c r="C6" s="65" t="s">
        <v>267</v>
      </c>
      <c r="D6" s="45"/>
      <c r="E6" s="66"/>
      <c r="F6" s="67" t="s">
        <v>268</v>
      </c>
      <c r="G6" s="68" t="s">
        <v>269</v>
      </c>
      <c r="H6" s="66"/>
      <c r="I6" s="69" t="s">
        <v>270</v>
      </c>
      <c r="J6" s="70" t="s">
        <v>271</v>
      </c>
      <c r="K6" s="45" t="s">
        <v>271</v>
      </c>
      <c r="L6" s="40"/>
      <c r="M6" s="40"/>
      <c r="N6" s="40"/>
      <c r="O6" s="40"/>
    </row>
    <row r="7" spans="1:15" x14ac:dyDescent="0.25">
      <c r="A7" s="45"/>
      <c r="B7" s="64"/>
      <c r="C7" s="71" t="s">
        <v>272</v>
      </c>
      <c r="D7" s="71" t="s">
        <v>273</v>
      </c>
      <c r="E7" s="71" t="s">
        <v>274</v>
      </c>
      <c r="F7" s="65" t="s">
        <v>275</v>
      </c>
      <c r="G7" s="71" t="s">
        <v>276</v>
      </c>
      <c r="H7" s="69" t="s">
        <v>277</v>
      </c>
      <c r="I7" s="69" t="s">
        <v>278</v>
      </c>
      <c r="J7" s="70" t="s">
        <v>279</v>
      </c>
      <c r="K7" s="45" t="s">
        <v>279</v>
      </c>
      <c r="L7" s="40"/>
      <c r="M7" s="40"/>
      <c r="N7" s="40"/>
      <c r="O7" s="40"/>
    </row>
    <row r="8" spans="1:15" x14ac:dyDescent="0.25">
      <c r="A8" s="45"/>
      <c r="B8" s="64"/>
      <c r="C8" s="69"/>
      <c r="D8" s="69" t="s">
        <v>280</v>
      </c>
      <c r="E8" s="69" t="s">
        <v>272</v>
      </c>
      <c r="F8" s="65" t="s">
        <v>281</v>
      </c>
      <c r="G8" s="69" t="s">
        <v>282</v>
      </c>
      <c r="H8" s="69" t="s">
        <v>283</v>
      </c>
      <c r="I8" s="69" t="s">
        <v>284</v>
      </c>
      <c r="J8" s="70" t="s">
        <v>285</v>
      </c>
      <c r="K8" s="45" t="s">
        <v>285</v>
      </c>
      <c r="L8" s="40"/>
      <c r="M8" s="40"/>
      <c r="N8" s="40"/>
      <c r="O8" s="40"/>
    </row>
    <row r="9" spans="1:15" x14ac:dyDescent="0.25">
      <c r="A9" s="72"/>
      <c r="B9" s="73"/>
      <c r="C9" s="74" t="s">
        <v>286</v>
      </c>
      <c r="D9" s="74" t="s">
        <v>286</v>
      </c>
      <c r="E9" s="74" t="s">
        <v>286</v>
      </c>
      <c r="F9" s="67" t="s">
        <v>286</v>
      </c>
      <c r="G9" s="74" t="s">
        <v>286</v>
      </c>
      <c r="H9" s="74"/>
      <c r="I9" s="74" t="s">
        <v>286</v>
      </c>
      <c r="J9" s="75" t="s">
        <v>286</v>
      </c>
      <c r="K9" s="72" t="s">
        <v>286</v>
      </c>
      <c r="L9" s="40"/>
      <c r="M9" s="40"/>
      <c r="N9" s="40"/>
      <c r="O9" s="40"/>
    </row>
    <row r="10" spans="1:15" x14ac:dyDescent="0.25">
      <c r="A10" s="40"/>
      <c r="B10" s="76"/>
      <c r="C10" s="77"/>
      <c r="D10" s="77"/>
      <c r="E10" s="77"/>
      <c r="F10" s="77"/>
      <c r="G10" s="77"/>
      <c r="H10" s="78"/>
      <c r="I10" s="78"/>
      <c r="J10" s="79"/>
      <c r="K10" s="40"/>
      <c r="L10" s="40"/>
      <c r="M10" s="40"/>
      <c r="N10" s="40"/>
      <c r="O10" s="40"/>
    </row>
    <row r="11" spans="1:15" x14ac:dyDescent="0.25">
      <c r="A11" s="40" t="s">
        <v>287</v>
      </c>
      <c r="B11" s="76" t="s">
        <v>288</v>
      </c>
      <c r="C11" s="80">
        <v>0</v>
      </c>
      <c r="D11" s="80">
        <v>0</v>
      </c>
      <c r="E11" s="80">
        <f>+C11+D11</f>
        <v>0</v>
      </c>
      <c r="F11" s="80">
        <v>0</v>
      </c>
      <c r="G11" s="80">
        <v>0</v>
      </c>
      <c r="H11" s="80">
        <v>0</v>
      </c>
      <c r="I11" s="80">
        <f>+SALDOS!D111-SALDOS!C112</f>
        <v>132386826.47000003</v>
      </c>
      <c r="J11" s="81">
        <f>+I11</f>
        <v>132386826.47000003</v>
      </c>
      <c r="K11" s="82"/>
      <c r="L11" s="82"/>
      <c r="M11" s="40"/>
      <c r="N11" s="40"/>
      <c r="O11" s="82"/>
    </row>
    <row r="12" spans="1:15" x14ac:dyDescent="0.25">
      <c r="A12" s="40"/>
      <c r="B12" s="76"/>
      <c r="C12" s="80"/>
      <c r="D12" s="80"/>
      <c r="E12" s="80"/>
      <c r="F12" s="80"/>
      <c r="G12" s="80"/>
      <c r="H12" s="80"/>
      <c r="I12" s="80"/>
      <c r="J12" s="81"/>
      <c r="K12" s="82"/>
      <c r="L12" s="82"/>
      <c r="M12" s="82"/>
      <c r="N12" s="40"/>
      <c r="O12" s="82"/>
    </row>
    <row r="13" spans="1:15" x14ac:dyDescent="0.25">
      <c r="A13" s="40"/>
      <c r="B13" s="76" t="s">
        <v>263</v>
      </c>
      <c r="C13" s="80" t="s">
        <v>68</v>
      </c>
      <c r="D13" s="80"/>
      <c r="E13" s="80"/>
      <c r="F13" s="80"/>
      <c r="G13" s="80"/>
      <c r="H13" s="80"/>
      <c r="I13" s="80">
        <f>+EERR!C30</f>
        <v>-574495342.9999999</v>
      </c>
      <c r="J13" s="81">
        <f>+I13</f>
        <v>-574495342.9999999</v>
      </c>
      <c r="K13" s="82"/>
      <c r="L13" s="27"/>
      <c r="M13" s="82"/>
      <c r="N13" s="40"/>
      <c r="O13" s="82"/>
    </row>
    <row r="14" hidden="1" spans="1:15" x14ac:dyDescent="0.25">
      <c r="A14" s="40"/>
      <c r="B14" s="76" t="s">
        <v>289</v>
      </c>
      <c r="C14" s="80"/>
      <c r="D14" s="80"/>
      <c r="E14" s="80"/>
      <c r="F14" s="80"/>
      <c r="G14" s="80"/>
      <c r="H14" s="80"/>
      <c r="I14" s="80">
        <v>0</v>
      </c>
      <c r="J14" s="81">
        <f>+I14</f>
        <v>0</v>
      </c>
      <c r="K14" s="82"/>
      <c r="L14" s="83"/>
      <c r="M14" s="40"/>
      <c r="N14" s="40"/>
      <c r="O14" s="82"/>
    </row>
    <row r="15" spans="1:15" x14ac:dyDescent="0.25">
      <c r="A15" s="40"/>
      <c r="B15" s="76"/>
      <c r="C15" s="80"/>
      <c r="D15" s="80"/>
      <c r="E15" s="80"/>
      <c r="F15" s="80"/>
      <c r="G15" s="80"/>
      <c r="H15" s="80"/>
      <c r="I15" s="80"/>
      <c r="J15" s="81"/>
      <c r="K15" s="82"/>
      <c r="L15" s="40"/>
      <c r="M15" s="40"/>
      <c r="N15" s="40"/>
      <c r="O15" s="82"/>
    </row>
    <row r="16" spans="1:15" x14ac:dyDescent="0.25">
      <c r="A16" s="40"/>
      <c r="B16" s="76"/>
      <c r="C16" s="80"/>
      <c r="D16" s="80"/>
      <c r="E16" s="80"/>
      <c r="F16" s="80"/>
      <c r="G16" s="80"/>
      <c r="H16" s="80"/>
      <c r="I16" s="80"/>
      <c r="J16" s="81"/>
      <c r="K16" s="82"/>
      <c r="L16" s="40"/>
      <c r="M16" s="40"/>
      <c r="N16" s="40"/>
      <c r="O16" s="82"/>
    </row>
    <row r="17" ht="13.8" customHeight="1" spans="1:15" x14ac:dyDescent="0.25">
      <c r="A17" s="40"/>
      <c r="B17" s="84" t="s">
        <v>290</v>
      </c>
      <c r="C17" s="85">
        <f>SUM(C11:C16)</f>
        <v>0</v>
      </c>
      <c r="D17" s="85">
        <f>SUM(D11:D16)</f>
        <v>0</v>
      </c>
      <c r="E17" s="85">
        <f>SUM(E11:E16)</f>
        <v>0</v>
      </c>
      <c r="F17" s="85">
        <f>SUM(F11:F16)</f>
        <v>0</v>
      </c>
      <c r="G17" s="85">
        <f>SUM(G11:G16)</f>
        <v>0</v>
      </c>
      <c r="H17" s="85">
        <f>SUM(H11:H16)</f>
        <v>0</v>
      </c>
      <c r="I17" s="85">
        <f>SUM(I11:I16)</f>
        <v>-442108516.52999985</v>
      </c>
      <c r="J17" s="86">
        <f>SUM(J11:J16)</f>
        <v>-442108516.52999985</v>
      </c>
      <c r="K17" s="87" t="e">
        <f>+#REF!+K13</f>
        <v>#REF!</v>
      </c>
      <c r="L17" s="40"/>
      <c r="M17" s="40"/>
      <c r="N17" s="40"/>
      <c r="O17" s="82"/>
    </row>
    <row r="18" ht="13.8" customHeight="1" hidden="1" spans="1:15" x14ac:dyDescent="0.25">
      <c r="A18" s="88"/>
      <c r="B18" s="76" t="s">
        <v>291</v>
      </c>
      <c r="C18" s="89"/>
      <c r="D18" s="89"/>
      <c r="E18" s="89">
        <f>+C18+D18</f>
        <v>0</v>
      </c>
      <c r="F18" s="90"/>
      <c r="G18" s="90">
        <v>0</v>
      </c>
      <c r="H18" s="90"/>
      <c r="I18" s="89">
        <v>0</v>
      </c>
      <c r="J18" s="89">
        <f>+E18</f>
        <v>0</v>
      </c>
      <c r="K18" s="91">
        <f>+G18</f>
        <v>0</v>
      </c>
      <c r="L18" s="40"/>
      <c r="M18" s="40"/>
      <c r="N18" s="40"/>
      <c r="O18" s="82"/>
    </row>
    <row r="19" ht="13.8" customHeight="1" spans="1:15" x14ac:dyDescent="0.25">
      <c r="A19" s="40"/>
      <c r="B19" s="40"/>
      <c r="C19" s="83"/>
      <c r="D19" s="83"/>
      <c r="E19" s="83"/>
      <c r="F19" s="83"/>
      <c r="G19" s="83"/>
      <c r="H19" s="83"/>
      <c r="I19" s="82"/>
      <c r="J19" s="40"/>
      <c r="K19" s="40"/>
      <c r="L19" s="40"/>
      <c r="M19" s="40"/>
      <c r="N19" s="40"/>
      <c r="O19" s="82"/>
    </row>
    <row r="20" spans="1:15" x14ac:dyDescent="0.25">
      <c r="A20" s="40"/>
      <c r="B20" s="40" t="s">
        <v>242</v>
      </c>
      <c r="C20" s="40"/>
      <c r="D20" s="40"/>
      <c r="E20" s="40"/>
      <c r="F20" s="40"/>
      <c r="G20" s="40"/>
      <c r="H20" s="82"/>
      <c r="I20" s="92"/>
      <c r="J20" s="40"/>
      <c r="K20" s="83"/>
      <c r="L20" s="40"/>
      <c r="M20" s="40"/>
      <c r="N20" s="40"/>
      <c r="O20" s="40"/>
    </row>
    <row r="21" spans="1:15" x14ac:dyDescent="0.25">
      <c r="A21" s="40"/>
      <c r="B21" s="40" t="s">
        <v>243</v>
      </c>
      <c r="C21" s="40"/>
      <c r="D21" s="40"/>
      <c r="E21" s="93"/>
      <c r="F21" s="40"/>
      <c r="G21" s="40"/>
      <c r="H21" s="40"/>
      <c r="I21" s="92"/>
      <c r="J21" s="82"/>
      <c r="K21" s="40"/>
      <c r="L21" s="40"/>
      <c r="M21" s="40"/>
      <c r="N21" s="40"/>
      <c r="O21" s="40"/>
    </row>
    <row r="22" spans="1:15" x14ac:dyDescent="0.25">
      <c r="A22" s="40"/>
      <c r="B22" s="40"/>
      <c r="C22" s="40"/>
      <c r="D22" s="40"/>
      <c r="E22" s="40"/>
      <c r="F22" s="40"/>
      <c r="G22" s="40"/>
      <c r="H22" s="40"/>
      <c r="I22" s="83"/>
      <c r="J22" s="94"/>
      <c r="K22" s="40"/>
      <c r="L22" s="82"/>
      <c r="M22" s="40"/>
      <c r="N22" s="40"/>
      <c r="O22" s="40"/>
    </row>
    <row r="23" spans="1:15" x14ac:dyDescent="0.25">
      <c r="A23" s="40"/>
      <c r="B23" s="40"/>
      <c r="C23" s="40"/>
      <c r="D23" s="40"/>
      <c r="E23" s="40"/>
      <c r="F23" s="40"/>
      <c r="G23" s="40"/>
      <c r="H23" s="40"/>
      <c r="I23" s="82"/>
      <c r="J23" s="40"/>
      <c r="K23" s="40"/>
      <c r="L23" s="40"/>
      <c r="M23" s="40"/>
      <c r="N23" s="40"/>
      <c r="O23" s="40"/>
    </row>
    <row r="24" spans="1:15" x14ac:dyDescent="0.25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</row>
    <row r="25" spans="1:15" x14ac:dyDescent="0.25">
      <c r="A25" s="40"/>
      <c r="B25" s="40"/>
      <c r="C25" s="45" t="str">
        <f>+EESP!E39</f>
        <v>Miguel Ángel Alonso</v>
      </c>
      <c r="D25" s="45"/>
      <c r="E25" s="45"/>
      <c r="F25" s="45"/>
      <c r="G25" s="45"/>
      <c r="H25" s="45" t="str">
        <f>+EERR!C40</f>
        <v>Tomas Furlong</v>
      </c>
      <c r="I25" s="40"/>
      <c r="J25" s="95"/>
      <c r="K25" s="40"/>
      <c r="L25" s="40"/>
      <c r="M25" s="40"/>
      <c r="N25" s="40"/>
      <c r="O25" s="40"/>
    </row>
    <row r="26" spans="1:15" x14ac:dyDescent="0.25">
      <c r="A26" s="40"/>
      <c r="B26" s="40"/>
      <c r="C26" s="45" t="str">
        <f>+EESP!E40</f>
        <v>Contador Público (UCA)</v>
      </c>
      <c r="D26" s="45"/>
      <c r="E26" s="45"/>
      <c r="F26" s="45"/>
      <c r="G26" s="45"/>
      <c r="H26" s="45" t="str">
        <f>+EERR!C41</f>
        <v>Transportes Furlong S.A.</v>
      </c>
      <c r="I26" s="40"/>
      <c r="J26" s="40"/>
      <c r="K26" s="40"/>
      <c r="L26" s="40"/>
      <c r="M26" s="40"/>
      <c r="N26" s="40"/>
      <c r="O26" s="40"/>
    </row>
    <row r="27" spans="1:15" x14ac:dyDescent="0.25">
      <c r="A27" s="40"/>
      <c r="B27" s="40"/>
      <c r="C27" s="45" t="str">
        <f>+EESP!E41</f>
        <v>C.P.C.E.C.A.B.A. Tº176 Fº3</v>
      </c>
      <c r="D27" s="45"/>
      <c r="E27" s="45"/>
      <c r="F27" s="45"/>
      <c r="G27" s="45"/>
      <c r="H27" s="45" t="str">
        <f>+EERR!C42</f>
        <v>Apoderado</v>
      </c>
      <c r="I27" s="40"/>
      <c r="J27" s="40"/>
      <c r="K27" s="40"/>
      <c r="L27" s="40"/>
      <c r="M27" s="40"/>
      <c r="N27" s="40"/>
      <c r="O27" s="40"/>
    </row>
    <row r="28" spans="1:15" x14ac:dyDescent="0.25">
      <c r="A28" s="40"/>
      <c r="B28" s="40"/>
      <c r="C28" s="45"/>
      <c r="D28" s="45"/>
      <c r="E28" s="40"/>
      <c r="F28" s="40"/>
      <c r="G28" s="40"/>
      <c r="H28" s="40"/>
      <c r="I28" s="45"/>
      <c r="J28" s="40"/>
      <c r="K28" s="40"/>
      <c r="L28" s="40"/>
      <c r="M28" s="40"/>
      <c r="N28" s="40"/>
      <c r="O28" s="40"/>
    </row>
    <row r="29" spans="1:15" x14ac:dyDescent="0.25">
      <c r="A29" s="40"/>
      <c r="B29" s="40"/>
      <c r="C29" s="45"/>
      <c r="D29" s="45"/>
      <c r="E29" s="40"/>
      <c r="F29" s="40"/>
      <c r="G29" s="40"/>
      <c r="H29" s="40"/>
      <c r="I29" s="45"/>
      <c r="J29" s="40"/>
      <c r="K29" s="40"/>
      <c r="L29" s="40"/>
      <c r="M29" s="40"/>
      <c r="N29" s="40"/>
      <c r="O29" s="40"/>
    </row>
    <row r="30" spans="1:15" x14ac:dyDescent="0.25">
      <c r="A30" s="40"/>
      <c r="B30" s="40"/>
      <c r="C30" s="45"/>
      <c r="D30" s="45"/>
      <c r="E30" s="40"/>
      <c r="F30" s="40"/>
      <c r="G30" s="40"/>
      <c r="H30" s="40"/>
      <c r="I30" s="45"/>
      <c r="J30" s="40"/>
      <c r="K30" s="40"/>
      <c r="L30" s="40"/>
      <c r="M30" s="40"/>
      <c r="N30" s="40"/>
      <c r="O30" s="40"/>
    </row>
  </sheetData>
  <mergeCells count="3">
    <mergeCell ref="A1:J1"/>
    <mergeCell ref="B2:J2"/>
    <mergeCell ref="A3:J3"/>
  </mergeCells>
  <pageMargins left="0.75" right="0.75" top="1" bottom="1" header="0" footer="0"/>
  <pageSetup paperSize="9" orientation="landscape" horizontalDpi="4294967295" verticalDpi="4294967295" scale="88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8"/>
  <sheetViews>
    <sheetView workbookViewId="0" zoomScale="100" zoomScaleNormal="100"/>
  </sheetViews>
  <sheetFormatPr defaultRowHeight="0" outlineLevelRow="0" outlineLevelCol="0" x14ac:dyDescent="0" customHeight="1"/>
  <cols>
    <col min="1" max="1" width="4.109375" customWidth="1"/>
    <col min="2" max="2" width="3.33203125" customWidth="1"/>
    <col min="3" max="3" width="2.5546875" customWidth="1"/>
    <col min="4" max="4" width="11.33203125" customWidth="1"/>
    <col min="5" max="5" width="37.109375" customWidth="1"/>
    <col min="6" max="6" width="15.5546875" customWidth="1"/>
    <col min="7" max="7" width="2.33203125" customWidth="1"/>
    <col min="8" max="8" width="12.5546875" hidden="1" customWidth="1"/>
    <col min="9" max="9" width="14.88671875" customWidth="1"/>
    <col min="10" max="10" width="15.33203125" customWidth="1"/>
    <col min="11" max="257" width="11.33203125" customWidth="1"/>
  </cols>
  <sheetData>
    <row r="1" ht="15.6" customHeight="1" spans="1:11" x14ac:dyDescent="0.25">
      <c r="A1" s="40"/>
      <c r="B1" s="96" t="s">
        <v>292</v>
      </c>
      <c r="C1" s="96"/>
      <c r="D1" s="97"/>
      <c r="E1" s="96" t="s">
        <v>293</v>
      </c>
      <c r="F1" s="97"/>
      <c r="G1" s="98"/>
      <c r="H1" s="98"/>
      <c r="I1" s="99"/>
      <c r="J1" s="40"/>
      <c r="K1" s="40"/>
    </row>
    <row r="2" ht="13.2" customHeight="1" spans="1:11" x14ac:dyDescent="0.25">
      <c r="A2" s="40"/>
      <c r="B2" s="98"/>
      <c r="C2" s="98"/>
      <c r="D2" s="98"/>
      <c r="E2" s="98"/>
      <c r="F2" s="98"/>
      <c r="G2" s="98"/>
      <c r="H2" s="98"/>
      <c r="I2" s="99"/>
      <c r="J2" s="40"/>
      <c r="K2" s="40"/>
    </row>
    <row r="3" ht="13.2" customHeight="1" spans="1:11" x14ac:dyDescent="0.25">
      <c r="A3" s="40"/>
      <c r="B3" s="99" t="s">
        <v>294</v>
      </c>
      <c r="C3" s="99"/>
      <c r="D3" s="99"/>
      <c r="E3" s="99"/>
      <c r="F3" s="99"/>
      <c r="G3" s="98"/>
      <c r="H3" s="98"/>
      <c r="I3" s="99"/>
      <c r="J3" s="40"/>
      <c r="K3" s="40"/>
    </row>
    <row r="4" ht="13.2" customHeight="1" spans="1:11" x14ac:dyDescent="0.25">
      <c r="A4" s="40"/>
      <c r="B4" s="99"/>
      <c r="C4" s="99"/>
      <c r="D4" s="99"/>
      <c r="E4" s="99"/>
      <c r="F4" s="99"/>
      <c r="G4" s="98"/>
      <c r="H4" s="98"/>
      <c r="I4" s="99"/>
      <c r="J4" s="40"/>
      <c r="K4" s="40"/>
    </row>
    <row r="5" ht="13.2" customHeight="1" spans="1:11" x14ac:dyDescent="0.25">
      <c r="A5" s="40"/>
      <c r="B5" s="99"/>
      <c r="C5" s="99"/>
      <c r="D5" s="99"/>
      <c r="E5" s="99"/>
      <c r="F5" s="99"/>
      <c r="G5" s="98"/>
      <c r="H5" s="98"/>
      <c r="I5" s="99"/>
      <c r="J5" s="40"/>
      <c r="K5" s="40"/>
    </row>
    <row r="6" ht="13.2" customHeight="1" spans="1:11" x14ac:dyDescent="0.25">
      <c r="A6" s="40"/>
      <c r="B6" s="99"/>
      <c r="C6" s="99"/>
      <c r="D6" s="99"/>
      <c r="E6" s="99"/>
      <c r="F6" s="100">
        <f>+EESP!F13</f>
        <v>46234</v>
      </c>
      <c r="G6" s="101"/>
      <c r="H6" s="102">
        <v>38717</v>
      </c>
      <c r="I6" s="99"/>
      <c r="J6" s="40"/>
      <c r="K6" s="40"/>
    </row>
    <row r="7" ht="13.2" customHeight="1" spans="1:11" x14ac:dyDescent="0.25">
      <c r="A7" s="40"/>
      <c r="B7" s="103" t="s">
        <v>4</v>
      </c>
      <c r="C7" s="99"/>
      <c r="D7" s="99"/>
      <c r="E7" s="99"/>
      <c r="F7" s="99"/>
      <c r="G7" s="98"/>
      <c r="H7" s="98"/>
      <c r="I7" s="99"/>
      <c r="J7" s="40"/>
      <c r="K7" s="40"/>
    </row>
    <row r="8" ht="13.2" customHeight="1" spans="1:11" x14ac:dyDescent="0.25">
      <c r="A8" s="40"/>
      <c r="B8" s="103" t="s">
        <v>295</v>
      </c>
      <c r="C8" s="99"/>
      <c r="D8" s="99"/>
      <c r="E8" s="99"/>
      <c r="F8" s="99"/>
      <c r="G8" s="98"/>
      <c r="H8" s="98"/>
      <c r="I8" s="99"/>
      <c r="J8" s="40"/>
      <c r="K8" s="40"/>
    </row>
    <row r="9" ht="13.2" customHeight="1" spans="1:11" x14ac:dyDescent="0.25">
      <c r="A9" s="40"/>
      <c r="B9" s="99" t="s">
        <v>296</v>
      </c>
      <c r="C9" s="104" t="s">
        <v>297</v>
      </c>
      <c r="D9" s="99"/>
      <c r="E9" s="99"/>
      <c r="F9" s="99"/>
      <c r="G9" s="98"/>
      <c r="H9" s="98"/>
      <c r="I9" s="99"/>
      <c r="J9" s="40"/>
      <c r="K9" s="40"/>
    </row>
    <row r="10" ht="13.2" customHeight="1" hidden="1" spans="1:11" x14ac:dyDescent="0.25">
      <c r="A10" s="40"/>
      <c r="B10" s="99"/>
      <c r="C10" s="104"/>
      <c r="D10" s="99" t="s">
        <v>298</v>
      </c>
      <c r="E10" s="99"/>
      <c r="F10" s="105">
        <v>0</v>
      </c>
      <c r="G10" s="98"/>
      <c r="H10" s="98"/>
      <c r="I10" s="99"/>
      <c r="J10" s="40"/>
      <c r="K10" s="40"/>
    </row>
    <row r="11" ht="13.2" customHeight="1" spans="1:11" x14ac:dyDescent="0.25">
      <c r="A11" s="40"/>
      <c r="B11" s="99"/>
      <c r="C11" s="99"/>
      <c r="D11" s="99" t="s">
        <v>299</v>
      </c>
      <c r="E11" s="99"/>
      <c r="F11" s="105">
        <f>+SALDOS!C5-SALDOS!D5</f>
        <v>4878940.17</v>
      </c>
      <c r="G11" s="106"/>
      <c r="H11" s="98"/>
      <c r="I11" s="99"/>
      <c r="J11" s="40"/>
      <c r="K11" s="40"/>
    </row>
    <row r="12" ht="13.2" customHeight="1" hidden="1" spans="1:11" x14ac:dyDescent="0.25">
      <c r="A12" s="40"/>
      <c r="B12" s="99"/>
      <c r="C12" s="99"/>
      <c r="D12" s="99" t="s">
        <v>300</v>
      </c>
      <c r="E12" s="99"/>
      <c r="F12" s="105">
        <f>+SALDOS!E6</f>
        <v>0</v>
      </c>
      <c r="G12" s="106"/>
      <c r="H12" s="98"/>
      <c r="I12" s="99"/>
      <c r="J12" s="40"/>
      <c r="K12" s="40"/>
    </row>
    <row r="13" ht="13.2" customHeight="1" hidden="1" spans="1:11" x14ac:dyDescent="0.25">
      <c r="A13" s="40"/>
      <c r="B13" s="99"/>
      <c r="C13" s="99"/>
      <c r="D13" s="99" t="s">
        <v>301</v>
      </c>
      <c r="E13" s="99"/>
      <c r="F13" s="105">
        <f>+SALDOS!E8</f>
        <v>0</v>
      </c>
      <c r="G13" s="106"/>
      <c r="H13" s="98"/>
      <c r="I13" s="99"/>
      <c r="J13" s="40"/>
      <c r="K13" s="40"/>
    </row>
    <row r="14" ht="13.2" customHeight="1" spans="1:11" x14ac:dyDescent="0.25">
      <c r="A14" s="40"/>
      <c r="B14" s="99"/>
      <c r="C14" s="99"/>
      <c r="D14" s="99" t="s">
        <v>302</v>
      </c>
      <c r="E14" s="99"/>
      <c r="F14" s="105">
        <f>+SALDOS!C7-SALDOS!D7</f>
        <v>219745.62</v>
      </c>
      <c r="G14" s="106"/>
      <c r="H14" s="98"/>
      <c r="I14" s="99"/>
      <c r="J14" s="40"/>
      <c r="K14" s="40"/>
    </row>
    <row r="15" ht="13.2" customHeight="1" hidden="1" spans="1:11" x14ac:dyDescent="0.25">
      <c r="A15" s="40"/>
      <c r="B15" s="99"/>
      <c r="C15" s="99"/>
      <c r="D15" s="99" t="s">
        <v>303</v>
      </c>
      <c r="E15" s="99"/>
      <c r="F15" s="105">
        <v>0</v>
      </c>
      <c r="G15" s="106"/>
      <c r="H15" s="98"/>
      <c r="I15" s="99"/>
      <c r="J15" s="40"/>
      <c r="K15" s="40"/>
    </row>
    <row r="16" ht="13.2" customHeight="1" hidden="1" spans="1:11" x14ac:dyDescent="0.25">
      <c r="A16" s="40"/>
      <c r="B16" s="99"/>
      <c r="C16" s="99"/>
      <c r="D16" s="99" t="s">
        <v>304</v>
      </c>
      <c r="E16" s="99"/>
      <c r="F16" s="105">
        <v>0</v>
      </c>
      <c r="G16" s="106"/>
      <c r="H16" s="98"/>
      <c r="I16" s="99"/>
      <c r="J16" s="40"/>
      <c r="K16" s="40"/>
    </row>
    <row r="17" ht="13.2" customHeight="1" hidden="1" spans="1:11" x14ac:dyDescent="0.25">
      <c r="A17" s="40"/>
      <c r="B17" s="99"/>
      <c r="C17" s="99"/>
      <c r="D17" s="99" t="s">
        <v>305</v>
      </c>
      <c r="E17" s="99"/>
      <c r="F17" s="105">
        <f>+SALDOS!C223</f>
        <v>0</v>
      </c>
      <c r="G17" s="106"/>
      <c r="H17" s="98"/>
      <c r="I17" s="99"/>
      <c r="J17" s="40"/>
      <c r="K17" s="40"/>
    </row>
    <row r="18" spans="1:11" x14ac:dyDescent="0.25">
      <c r="A18" s="40"/>
      <c r="B18" s="99"/>
      <c r="C18" s="99" t="s">
        <v>68</v>
      </c>
      <c r="D18" s="99"/>
      <c r="E18" s="99"/>
      <c r="F18" s="107">
        <f>SUM(F10:F17)</f>
        <v>5098685.79</v>
      </c>
      <c r="G18" s="106"/>
      <c r="H18" s="106"/>
      <c r="I18" s="105"/>
      <c r="J18" s="82"/>
      <c r="K18" s="82"/>
    </row>
    <row r="19" spans="1:11" x14ac:dyDescent="0.25">
      <c r="A19" s="40"/>
      <c r="B19" s="99"/>
      <c r="C19" s="99"/>
      <c r="D19" s="99"/>
      <c r="E19" s="99"/>
      <c r="F19" s="105"/>
      <c r="G19" s="106"/>
      <c r="H19" s="106"/>
      <c r="I19" s="105"/>
      <c r="J19" s="82"/>
      <c r="K19" s="82"/>
    </row>
    <row r="20" ht="13.2" customHeight="1" spans="1:11" x14ac:dyDescent="0.25">
      <c r="A20" s="40"/>
      <c r="B20" s="99" t="s">
        <v>306</v>
      </c>
      <c r="C20" s="104" t="s">
        <v>307</v>
      </c>
      <c r="D20" s="99"/>
      <c r="E20" s="99"/>
      <c r="F20" s="99"/>
      <c r="G20" s="106"/>
      <c r="H20" s="106"/>
      <c r="I20" s="105"/>
      <c r="J20" s="82"/>
      <c r="K20" s="82"/>
    </row>
    <row r="21" ht="13.2" customHeight="1" hidden="1" spans="1:11" x14ac:dyDescent="0.25">
      <c r="A21" s="40"/>
      <c r="B21" s="99"/>
      <c r="C21" s="104"/>
      <c r="D21" s="99" t="s">
        <v>308</v>
      </c>
      <c r="E21" s="99"/>
      <c r="F21" s="105">
        <f>+SALDOS!C28</f>
        <v>0</v>
      </c>
      <c r="G21" s="106"/>
      <c r="H21" s="106"/>
      <c r="I21" s="105"/>
      <c r="J21" s="82"/>
      <c r="K21" s="82"/>
    </row>
    <row r="22" ht="13.2" customHeight="1" spans="1:11" x14ac:dyDescent="0.25">
      <c r="A22" s="40"/>
      <c r="B22" s="99"/>
      <c r="C22" s="104"/>
      <c r="D22" s="99" t="s">
        <v>309</v>
      </c>
      <c r="E22" s="99"/>
      <c r="F22" s="108">
        <f>+SALDOS!C27</f>
        <v>18111832.17</v>
      </c>
      <c r="G22" s="106"/>
      <c r="H22" s="106"/>
      <c r="I22" s="105"/>
      <c r="J22" s="82"/>
      <c r="K22" s="82"/>
    </row>
    <row r="23" spans="1:11" x14ac:dyDescent="0.25">
      <c r="A23" s="40"/>
      <c r="B23" s="99"/>
      <c r="C23" s="99"/>
      <c r="D23" s="99"/>
      <c r="E23" s="99"/>
      <c r="F23" s="107">
        <f>+F22+F21</f>
        <v>18111832.17</v>
      </c>
      <c r="G23" s="106"/>
      <c r="H23" s="106"/>
      <c r="I23" s="105"/>
      <c r="J23" s="82"/>
      <c r="K23" s="82"/>
    </row>
    <row r="24" spans="1:11" x14ac:dyDescent="0.25">
      <c r="A24" s="40"/>
      <c r="B24" s="99"/>
      <c r="C24" s="99"/>
      <c r="D24" s="99"/>
      <c r="E24" s="99"/>
      <c r="F24" s="105"/>
      <c r="G24" s="106"/>
      <c r="H24" s="106"/>
      <c r="I24" s="105"/>
      <c r="J24" s="82"/>
      <c r="K24" s="82"/>
    </row>
    <row r="25" ht="13.2" customHeight="1" spans="1:11" x14ac:dyDescent="0.25">
      <c r="A25" s="40"/>
      <c r="B25" s="99"/>
      <c r="C25" s="99"/>
      <c r="D25" s="99"/>
      <c r="E25" s="99"/>
      <c r="F25" s="105"/>
      <c r="G25" s="106"/>
      <c r="H25" s="106"/>
      <c r="I25" s="105"/>
      <c r="J25" s="82"/>
      <c r="K25" s="82"/>
    </row>
    <row r="26" ht="13.2" customHeight="1" spans="1:11" x14ac:dyDescent="0.25">
      <c r="A26" s="40"/>
      <c r="B26" s="99"/>
      <c r="C26" s="99"/>
      <c r="D26" s="99"/>
      <c r="E26" s="99"/>
      <c r="F26" s="105"/>
      <c r="G26" s="106"/>
      <c r="H26" s="98"/>
      <c r="I26" s="99"/>
      <c r="J26" s="40"/>
      <c r="K26" s="40"/>
    </row>
    <row r="27" ht="13.2" customHeight="1" spans="1:11" x14ac:dyDescent="0.25">
      <c r="A27" s="40"/>
      <c r="B27" s="99" t="s">
        <v>310</v>
      </c>
      <c r="C27" s="104" t="s">
        <v>311</v>
      </c>
      <c r="D27" s="99"/>
      <c r="E27" s="99"/>
      <c r="F27" s="99"/>
      <c r="G27" s="98"/>
      <c r="H27" s="98"/>
      <c r="I27" s="99"/>
      <c r="J27" s="40"/>
      <c r="K27" s="40"/>
    </row>
    <row r="28" ht="13.2" customHeight="1" spans="1:11" x14ac:dyDescent="0.25">
      <c r="A28" s="40"/>
      <c r="B28" s="99"/>
      <c r="C28" s="99"/>
      <c r="D28" s="99" t="s">
        <v>312</v>
      </c>
      <c r="E28" s="99"/>
      <c r="F28" s="105">
        <f>+SALDOS!C12+SALDOS!C13+SALDOS!C9+SALDOS!C14+SALDOS!C15</f>
        <v>1109782.15</v>
      </c>
      <c r="G28" s="106"/>
      <c r="H28" s="98"/>
      <c r="I28" s="105"/>
      <c r="J28" s="40"/>
      <c r="K28" s="40"/>
    </row>
    <row r="29" ht="13.2" customHeight="1" hidden="1" spans="1:11" x14ac:dyDescent="0.25">
      <c r="A29" s="40"/>
      <c r="B29" s="99"/>
      <c r="C29" s="99"/>
      <c r="D29" s="99" t="s">
        <v>313</v>
      </c>
      <c r="E29" s="99"/>
      <c r="F29" s="109">
        <v>0</v>
      </c>
      <c r="G29" s="106"/>
      <c r="H29" s="98"/>
      <c r="I29" s="99"/>
      <c r="J29" s="40"/>
      <c r="K29" s="40"/>
    </row>
    <row r="30" spans="1:11" x14ac:dyDescent="0.25">
      <c r="A30" s="40"/>
      <c r="B30" s="99"/>
      <c r="C30" s="99" t="s">
        <v>68</v>
      </c>
      <c r="D30" s="99"/>
      <c r="E30" s="99"/>
      <c r="F30" s="107">
        <f>SUM(F28:F29)</f>
        <v>1109782.15</v>
      </c>
      <c r="G30" s="106"/>
      <c r="H30" s="98"/>
      <c r="I30" s="105"/>
      <c r="J30" s="82"/>
      <c r="K30" s="40"/>
    </row>
    <row r="31" spans="1:11" x14ac:dyDescent="0.25">
      <c r="A31" s="40"/>
      <c r="B31" s="99"/>
      <c r="C31" s="99"/>
      <c r="D31" s="99"/>
      <c r="E31" s="99"/>
      <c r="F31" s="105"/>
      <c r="G31" s="106"/>
      <c r="H31" s="98"/>
      <c r="I31" s="99"/>
      <c r="J31" s="40"/>
      <c r="K31" s="40"/>
    </row>
    <row r="32" ht="13.2" customHeight="1" spans="1:11" x14ac:dyDescent="0.25">
      <c r="A32" s="40"/>
      <c r="B32" s="99" t="s">
        <v>314</v>
      </c>
      <c r="C32" s="104" t="s">
        <v>315</v>
      </c>
      <c r="D32" s="99"/>
      <c r="E32" s="99"/>
      <c r="F32" s="99"/>
      <c r="G32" s="98"/>
      <c r="H32" s="98"/>
      <c r="I32" s="99"/>
      <c r="J32" s="40"/>
      <c r="K32" s="40"/>
    </row>
    <row r="33" ht="13.2" customHeight="1" hidden="1" spans="1:11" x14ac:dyDescent="0.25">
      <c r="A33" s="40"/>
      <c r="B33" s="99"/>
      <c r="C33" s="104"/>
      <c r="D33" s="99" t="s">
        <v>316</v>
      </c>
      <c r="E33" s="99"/>
      <c r="F33" s="105">
        <v>0</v>
      </c>
      <c r="G33" s="106"/>
      <c r="H33" s="98"/>
      <c r="I33" s="99"/>
      <c r="J33" s="40"/>
      <c r="K33" s="40"/>
    </row>
    <row r="34" ht="13.2" customHeight="1" hidden="1" spans="1:11" x14ac:dyDescent="0.25">
      <c r="A34" s="40"/>
      <c r="B34" s="99"/>
      <c r="C34" s="99"/>
      <c r="D34" s="99" t="s">
        <v>317</v>
      </c>
      <c r="E34" s="99"/>
      <c r="F34" s="105">
        <v>0</v>
      </c>
      <c r="G34" s="106"/>
      <c r="H34" s="98"/>
      <c r="I34" s="99"/>
      <c r="J34" s="40"/>
      <c r="K34" s="40"/>
    </row>
    <row r="35" ht="13.2" customHeight="1" hidden="1" spans="1:11" x14ac:dyDescent="0.25">
      <c r="A35" s="40"/>
      <c r="B35" s="99"/>
      <c r="C35" s="99"/>
      <c r="D35" s="99" t="s">
        <v>318</v>
      </c>
      <c r="E35" s="99"/>
      <c r="F35" s="105">
        <f>+SALDOS!C17</f>
        <v>0</v>
      </c>
      <c r="G35" s="106"/>
      <c r="H35" s="98"/>
      <c r="I35" s="99"/>
      <c r="J35" s="40"/>
      <c r="K35" s="40"/>
    </row>
    <row r="36" ht="13.2" customHeight="1" spans="1:11" x14ac:dyDescent="0.25">
      <c r="A36" s="40"/>
      <c r="B36" s="99"/>
      <c r="C36" s="99"/>
      <c r="D36" s="99" t="s">
        <v>319</v>
      </c>
      <c r="E36" s="99"/>
      <c r="F36" s="105">
        <f>+SALDOS!C16</f>
        <v>28186194.26</v>
      </c>
      <c r="G36" s="106"/>
      <c r="H36" s="98"/>
      <c r="I36" s="99"/>
      <c r="J36" s="40"/>
      <c r="K36" s="40"/>
    </row>
    <row r="37" ht="13.2" customHeight="1" hidden="1" spans="1:11" x14ac:dyDescent="0.25">
      <c r="A37" s="40"/>
      <c r="B37" s="99"/>
      <c r="C37" s="99"/>
      <c r="D37" s="99" t="s">
        <v>320</v>
      </c>
      <c r="E37" s="99"/>
      <c r="F37" s="105">
        <v>0</v>
      </c>
      <c r="G37" s="106"/>
      <c r="H37" s="98"/>
      <c r="I37" s="99"/>
      <c r="J37" s="40"/>
      <c r="K37" s="40"/>
    </row>
    <row r="38" ht="13.2" customHeight="1" hidden="1" spans="1:11" x14ac:dyDescent="0.25">
      <c r="A38" s="40"/>
      <c r="B38" s="99"/>
      <c r="C38" s="99"/>
      <c r="D38" s="99" t="s">
        <v>318</v>
      </c>
      <c r="E38" s="99"/>
      <c r="F38" s="105">
        <v>0</v>
      </c>
      <c r="G38" s="106"/>
      <c r="H38" s="98"/>
      <c r="I38" s="99"/>
      <c r="J38" s="40"/>
      <c r="K38" s="40"/>
    </row>
    <row r="39" ht="13.2" customHeight="1" hidden="1" spans="1:11" x14ac:dyDescent="0.25">
      <c r="A39" s="40"/>
      <c r="B39" s="99"/>
      <c r="C39" s="99"/>
      <c r="D39" s="99" t="s">
        <v>321</v>
      </c>
      <c r="E39" s="99"/>
      <c r="F39" s="105">
        <v>0</v>
      </c>
      <c r="G39" s="106"/>
      <c r="H39" s="98"/>
      <c r="I39" s="99"/>
      <c r="J39" s="40"/>
      <c r="K39" s="40"/>
    </row>
    <row r="40" ht="13.2" customHeight="1" hidden="1" spans="1:11" x14ac:dyDescent="0.25">
      <c r="A40" s="40"/>
      <c r="B40" s="99"/>
      <c r="C40" s="99"/>
      <c r="D40" s="99" t="s">
        <v>322</v>
      </c>
      <c r="E40" s="99"/>
      <c r="F40" s="105">
        <v>0</v>
      </c>
      <c r="G40" s="106"/>
      <c r="H40" s="98"/>
      <c r="I40" s="99"/>
      <c r="J40" s="40"/>
      <c r="K40" s="40"/>
    </row>
    <row r="41" ht="13.2" customHeight="1" spans="1:11" x14ac:dyDescent="0.25">
      <c r="A41" s="40"/>
      <c r="B41" s="99"/>
      <c r="C41" s="99"/>
      <c r="D41" s="99" t="s">
        <v>323</v>
      </c>
      <c r="E41" s="99"/>
      <c r="F41" s="105">
        <f>+SALDOS!C20+SALDOS!C22+SALDOS!C23+SALDOS!C19+SALDOS!C21</f>
        <v>2500000</v>
      </c>
      <c r="G41" s="106"/>
      <c r="H41" s="98"/>
      <c r="I41" s="99"/>
      <c r="J41" s="40"/>
      <c r="K41" s="40"/>
    </row>
    <row r="42" ht="13.2" customHeight="1" hidden="1" spans="1:11" x14ac:dyDescent="0.25">
      <c r="A42" s="40"/>
      <c r="B42" s="99"/>
      <c r="C42" s="99"/>
      <c r="D42" s="99" t="s">
        <v>313</v>
      </c>
      <c r="E42" s="99"/>
      <c r="F42" s="105">
        <v>0</v>
      </c>
      <c r="G42" s="106"/>
      <c r="H42" s="98"/>
      <c r="I42" s="99"/>
      <c r="J42" s="40"/>
      <c r="K42" s="40"/>
    </row>
    <row r="43" ht="13.2" customHeight="1" hidden="1" spans="1:11" x14ac:dyDescent="0.25">
      <c r="A43" s="40"/>
      <c r="B43" s="99"/>
      <c r="C43" s="99"/>
      <c r="D43" s="99" t="s">
        <v>324</v>
      </c>
      <c r="E43" s="99"/>
      <c r="F43" s="105">
        <v>0</v>
      </c>
      <c r="G43" s="106"/>
      <c r="H43" s="98"/>
      <c r="I43" s="99"/>
      <c r="J43" s="40"/>
      <c r="K43" s="40"/>
    </row>
    <row r="44" ht="13.2" customHeight="1" hidden="1" spans="1:11" x14ac:dyDescent="0.25">
      <c r="A44" s="40"/>
      <c r="B44" s="99"/>
      <c r="C44" s="99"/>
      <c r="D44" s="99" t="s">
        <v>325</v>
      </c>
      <c r="E44" s="99"/>
      <c r="F44" s="105">
        <v>0</v>
      </c>
      <c r="G44" s="106"/>
      <c r="H44" s="98"/>
      <c r="I44" s="99"/>
      <c r="J44" s="40"/>
      <c r="K44" s="40"/>
    </row>
    <row r="45" ht="13.2" customHeight="1" hidden="1" spans="1:11" x14ac:dyDescent="0.25">
      <c r="A45" s="40"/>
      <c r="B45" s="99"/>
      <c r="C45" s="99"/>
      <c r="D45" s="99" t="s">
        <v>326</v>
      </c>
      <c r="E45" s="99"/>
      <c r="F45" s="105">
        <v>0</v>
      </c>
      <c r="G45" s="106"/>
      <c r="H45" s="98"/>
      <c r="I45" s="99"/>
      <c r="J45" s="40"/>
      <c r="K45" s="40"/>
    </row>
    <row r="46" ht="13.2" customHeight="1" hidden="1" spans="1:11" x14ac:dyDescent="0.25">
      <c r="A46" s="40"/>
      <c r="B46" s="99"/>
      <c r="C46" s="99"/>
      <c r="D46" s="99" t="s">
        <v>327</v>
      </c>
      <c r="E46" s="99"/>
      <c r="F46" s="105">
        <v>0</v>
      </c>
      <c r="G46" s="106"/>
      <c r="H46" s="98"/>
      <c r="I46" s="99"/>
      <c r="J46" s="40"/>
      <c r="K46" s="40"/>
    </row>
    <row r="47" ht="13.2" customHeight="1" hidden="1" spans="1:11" x14ac:dyDescent="0.25">
      <c r="A47" s="40"/>
      <c r="B47" s="99"/>
      <c r="C47" s="99"/>
      <c r="D47" s="99" t="s">
        <v>328</v>
      </c>
      <c r="E47" s="99"/>
      <c r="F47" s="105">
        <v>0</v>
      </c>
      <c r="G47" s="106"/>
      <c r="H47" s="98"/>
      <c r="I47" s="99"/>
      <c r="J47" s="40"/>
      <c r="K47" s="40"/>
    </row>
    <row r="48" ht="13.2" customHeight="1" hidden="1" spans="1:11" x14ac:dyDescent="0.25">
      <c r="A48" s="40"/>
      <c r="B48" s="99"/>
      <c r="C48" s="99"/>
      <c r="D48" s="99" t="s">
        <v>329</v>
      </c>
      <c r="E48" s="99"/>
      <c r="F48" s="105">
        <v>0</v>
      </c>
      <c r="G48" s="106"/>
      <c r="H48" s="98"/>
      <c r="I48" s="99"/>
      <c r="J48" s="40"/>
      <c r="K48" s="40"/>
    </row>
    <row r="49" ht="13.2" customHeight="1" hidden="1" spans="1:11" x14ac:dyDescent="0.25">
      <c r="A49" s="40"/>
      <c r="B49" s="99"/>
      <c r="C49" s="99"/>
      <c r="D49" s="99" t="s">
        <v>330</v>
      </c>
      <c r="E49" s="99"/>
      <c r="F49" s="105">
        <v>0</v>
      </c>
      <c r="G49" s="106"/>
      <c r="H49" s="98"/>
      <c r="I49" s="99"/>
      <c r="J49" s="40"/>
      <c r="K49" s="40"/>
    </row>
    <row r="50" ht="13.2" customHeight="1" hidden="1" spans="1:11" x14ac:dyDescent="0.25">
      <c r="A50" s="40"/>
      <c r="B50" s="99"/>
      <c r="C50" s="99"/>
      <c r="D50" s="99" t="s">
        <v>331</v>
      </c>
      <c r="E50" s="99"/>
      <c r="F50" s="105">
        <v>0</v>
      </c>
      <c r="G50" s="106"/>
      <c r="H50" s="98"/>
      <c r="I50" s="99"/>
      <c r="J50" s="40"/>
      <c r="K50" s="40"/>
    </row>
    <row r="51" ht="13.2" customHeight="1" hidden="1" spans="1:11" x14ac:dyDescent="0.25">
      <c r="A51" s="40"/>
      <c r="B51" s="99"/>
      <c r="C51" s="99"/>
      <c r="D51" s="99" t="s">
        <v>332</v>
      </c>
      <c r="E51" s="99"/>
      <c r="F51" s="105">
        <f>-SALDOS!D29</f>
        <v>0</v>
      </c>
      <c r="G51" s="106"/>
      <c r="H51" s="98"/>
      <c r="I51" s="99"/>
      <c r="J51" s="40"/>
      <c r="K51" s="40"/>
    </row>
    <row r="52" ht="13.2" customHeight="1" spans="1:11" x14ac:dyDescent="0.25">
      <c r="A52" s="40"/>
      <c r="B52" s="99"/>
      <c r="C52" s="99"/>
      <c r="D52" s="99" t="s">
        <v>333</v>
      </c>
      <c r="E52" s="99"/>
      <c r="F52" s="105">
        <f>+SALDOS!C24+SALDOS!C25+SALDOS!C26</f>
        <v>16569832.049999999</v>
      </c>
      <c r="G52" s="106"/>
      <c r="H52" s="98"/>
      <c r="I52" s="99"/>
      <c r="J52" s="40"/>
      <c r="K52" s="40"/>
    </row>
    <row r="53" spans="1:11" x14ac:dyDescent="0.25">
      <c r="A53" s="40"/>
      <c r="B53" s="99"/>
      <c r="C53" s="99" t="s">
        <v>68</v>
      </c>
      <c r="D53" s="99"/>
      <c r="E53" s="99"/>
      <c r="F53" s="107">
        <f>SUM(F33:F52)</f>
        <v>47256026.31</v>
      </c>
      <c r="G53" s="106"/>
      <c r="H53" s="106"/>
      <c r="I53" s="105"/>
      <c r="J53" s="82"/>
      <c r="K53" s="40"/>
    </row>
    <row r="54" ht="14.4" customHeight="1" spans="1:11" x14ac:dyDescent="0.25">
      <c r="A54" s="40"/>
      <c r="B54" s="110"/>
      <c r="C54" s="110"/>
      <c r="D54" s="110"/>
      <c r="E54" s="110"/>
      <c r="F54" s="111"/>
      <c r="G54" s="111"/>
      <c r="H54" s="110"/>
      <c r="I54" s="82"/>
      <c r="J54" s="40"/>
      <c r="K54" s="40"/>
    </row>
    <row r="55" spans="1:11" x14ac:dyDescent="0.25">
      <c r="A55" s="40"/>
      <c r="B55" s="110"/>
      <c r="C55" s="110"/>
      <c r="D55" s="110"/>
      <c r="E55" s="110"/>
      <c r="F55" s="110"/>
      <c r="G55" s="110"/>
      <c r="H55" s="110"/>
      <c r="I55" s="82"/>
      <c r="J55" s="82"/>
      <c r="K55" s="40"/>
    </row>
    <row r="56" spans="1:11" x14ac:dyDescent="0.25">
      <c r="A56" s="40"/>
      <c r="B56" s="110"/>
      <c r="C56" s="110"/>
      <c r="D56" s="110"/>
      <c r="E56" s="110"/>
      <c r="F56" s="111"/>
      <c r="G56" s="110"/>
      <c r="H56" s="110"/>
      <c r="I56" s="40"/>
      <c r="J56" s="40"/>
      <c r="K56" s="40"/>
    </row>
    <row r="57" spans="1:11" x14ac:dyDescent="0.25">
      <c r="A57" s="40"/>
      <c r="B57" s="110"/>
      <c r="C57" s="110"/>
      <c r="D57" s="110"/>
      <c r="E57" s="110"/>
      <c r="F57" s="110"/>
      <c r="G57" s="110"/>
      <c r="H57" s="110"/>
      <c r="I57" s="40"/>
      <c r="J57" s="82"/>
      <c r="K57" s="40"/>
    </row>
    <row r="58" spans="1:11" x14ac:dyDescent="0.25">
      <c r="A58" s="40"/>
      <c r="B58" s="110"/>
      <c r="C58" s="110"/>
      <c r="D58" s="110"/>
      <c r="E58" s="110"/>
      <c r="F58" s="111"/>
      <c r="G58" s="110"/>
      <c r="H58" s="110"/>
      <c r="I58" s="40"/>
      <c r="J58" s="40"/>
      <c r="K58" s="40"/>
    </row>
  </sheetData>
  <pageMargins left="0.75" right="0.75" top="1" bottom="1" header="0" footer="0"/>
  <pageSetup paperSize="9" orientation="portrait" horizontalDpi="1200" verticalDpi="12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6"/>
  <sheetViews>
    <sheetView workbookViewId="0" zoomScale="100" zoomScaleNormal="100"/>
  </sheetViews>
  <sheetFormatPr defaultRowHeight="0" outlineLevelRow="0" outlineLevelCol="0" x14ac:dyDescent="0" customHeight="1"/>
  <cols>
    <col min="1" max="1" width="3.5546875" customWidth="1"/>
    <col min="2" max="2" width="2.6640625" customWidth="1"/>
    <col min="3" max="3" width="20.88671875" customWidth="1"/>
    <col min="4" max="4" width="17.88671875" customWidth="1"/>
    <col min="5" max="5" width="18.44140625" customWidth="1"/>
    <col min="6" max="12" width="9" hidden="1" customWidth="1"/>
    <col min="13" max="13" width="2.6640625" customWidth="1"/>
    <col min="14" max="14" width="11" customWidth="1"/>
    <col min="15" max="15" width="16.6640625" customWidth="1"/>
    <col min="16" max="16" width="10.88671875" customWidth="1"/>
    <col min="17" max="17" width="12.6640625" customWidth="1"/>
    <col min="18" max="257" width="9.109375" customWidth="1"/>
  </cols>
  <sheetData>
    <row r="1" spans="1:17" x14ac:dyDescent="0.25">
      <c r="A1" s="99"/>
      <c r="B1" s="99"/>
      <c r="C1" s="99"/>
      <c r="D1" s="99"/>
      <c r="E1" s="100">
        <f>+Activo!F6</f>
        <v>46234</v>
      </c>
      <c r="F1" s="100"/>
      <c r="G1" s="100" t="s">
        <v>334</v>
      </c>
      <c r="H1" s="100"/>
      <c r="I1" s="100"/>
      <c r="J1" s="100"/>
      <c r="K1" s="100" t="s">
        <v>335</v>
      </c>
      <c r="L1" s="100">
        <f>+EESP!G13</f>
        <v>38717</v>
      </c>
      <c r="M1" s="112"/>
      <c r="N1" s="99"/>
      <c r="O1" s="4"/>
      <c r="P1" s="4"/>
      <c r="Q1" s="4"/>
    </row>
    <row r="2" spans="1:17" x14ac:dyDescent="0.25">
      <c r="A2" s="103" t="s">
        <v>336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4"/>
      <c r="P2" s="4"/>
      <c r="Q2" s="4"/>
    </row>
    <row r="3" spans="1:17" x14ac:dyDescent="0.25">
      <c r="A3" s="103" t="s">
        <v>337</v>
      </c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4"/>
      <c r="P3" s="4"/>
      <c r="Q3" s="4"/>
    </row>
    <row r="4" spans="1:17" x14ac:dyDescent="0.25">
      <c r="A4" s="99" t="s">
        <v>338</v>
      </c>
      <c r="B4" s="104" t="s">
        <v>339</v>
      </c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4"/>
      <c r="P4" s="4"/>
      <c r="Q4" s="4"/>
    </row>
    <row r="5" hidden="1" spans="1:17" x14ac:dyDescent="0.25">
      <c r="A5" s="99"/>
      <c r="B5" s="99"/>
      <c r="C5" s="99" t="s">
        <v>340</v>
      </c>
      <c r="D5" s="99"/>
      <c r="E5" s="105">
        <v>0</v>
      </c>
      <c r="F5" s="99"/>
      <c r="G5" s="99"/>
      <c r="H5" s="99"/>
      <c r="I5" s="99"/>
      <c r="J5" s="99"/>
      <c r="K5" s="99"/>
      <c r="L5" s="99"/>
      <c r="M5" s="99"/>
      <c r="N5" s="99"/>
      <c r="O5" s="32"/>
      <c r="P5" s="4"/>
      <c r="Q5" s="4"/>
    </row>
    <row r="6" spans="1:17" x14ac:dyDescent="0.25">
      <c r="A6" s="99"/>
      <c r="B6" s="99"/>
      <c r="C6" s="99" t="s">
        <v>341</v>
      </c>
      <c r="D6" s="99"/>
      <c r="E6" s="105">
        <f>-SUM(SALDOS!E48:E71)-SUM(SALDOS!E81:E108)-0.02</f>
        <v>40549635.31999999</v>
      </c>
      <c r="F6" s="99"/>
      <c r="G6" s="99"/>
      <c r="H6" s="99"/>
      <c r="I6" s="99"/>
      <c r="J6" s="99"/>
      <c r="K6" s="99"/>
      <c r="L6" s="99"/>
      <c r="M6" s="99"/>
      <c r="N6" s="99"/>
      <c r="O6" s="113"/>
      <c r="P6" s="114"/>
      <c r="Q6" s="4"/>
    </row>
    <row r="7" spans="1:17" x14ac:dyDescent="0.25">
      <c r="A7" s="99"/>
      <c r="B7" s="99"/>
      <c r="C7" s="99" t="s">
        <v>342</v>
      </c>
      <c r="D7" s="99"/>
      <c r="E7" s="105">
        <f>+SALDOS!D80+SALDOS!D10</f>
        <v>535708430.73</v>
      </c>
      <c r="F7" s="99"/>
      <c r="G7" s="99"/>
      <c r="H7" s="99"/>
      <c r="I7" s="99"/>
      <c r="J7" s="99"/>
      <c r="K7" s="99"/>
      <c r="L7" s="99"/>
      <c r="M7" s="99"/>
      <c r="N7" s="99"/>
      <c r="O7" s="114"/>
      <c r="P7" s="114"/>
      <c r="Q7" s="4"/>
    </row>
    <row r="8" hidden="1" spans="1:17" x14ac:dyDescent="0.25">
      <c r="A8" s="99"/>
      <c r="B8" s="99"/>
      <c r="C8" s="99" t="s">
        <v>343</v>
      </c>
      <c r="D8" s="99"/>
      <c r="E8" s="105">
        <v>0</v>
      </c>
      <c r="F8" s="99"/>
      <c r="G8" s="99"/>
      <c r="H8" s="99"/>
      <c r="I8" s="99"/>
      <c r="J8" s="99"/>
      <c r="K8" s="99"/>
      <c r="L8" s="99"/>
      <c r="M8" s="99"/>
      <c r="N8" s="99"/>
      <c r="O8" s="115"/>
      <c r="P8" s="114"/>
      <c r="Q8" s="4"/>
    </row>
    <row r="9" hidden="1" spans="1:17" x14ac:dyDescent="0.25">
      <c r="A9" s="99"/>
      <c r="B9" s="99"/>
      <c r="C9" s="99" t="s">
        <v>344</v>
      </c>
      <c r="D9" s="99"/>
      <c r="E9" s="105">
        <v>0</v>
      </c>
      <c r="F9" s="99"/>
      <c r="G9" s="99"/>
      <c r="H9" s="99"/>
      <c r="I9" s="99"/>
      <c r="J9" s="99"/>
      <c r="K9" s="99"/>
      <c r="L9" s="99"/>
      <c r="M9" s="99"/>
      <c r="N9" s="99"/>
      <c r="O9" s="115"/>
      <c r="P9" s="114"/>
      <c r="Q9" s="4"/>
    </row>
    <row r="10" ht="13.8" customHeight="1" spans="1:17" x14ac:dyDescent="0.25">
      <c r="A10" s="99"/>
      <c r="B10" s="99"/>
      <c r="C10" s="99"/>
      <c r="D10" s="99"/>
      <c r="E10" s="107">
        <f>SUM(E5:E9)</f>
        <v>576258066.05</v>
      </c>
      <c r="F10" s="99"/>
      <c r="G10" s="99"/>
      <c r="H10" s="99"/>
      <c r="I10" s="99"/>
      <c r="J10" s="99"/>
      <c r="K10" s="99"/>
      <c r="L10" s="99"/>
      <c r="M10" s="99"/>
      <c r="N10" s="99"/>
      <c r="O10" s="114"/>
      <c r="P10" s="114"/>
      <c r="Q10" s="32"/>
    </row>
    <row r="11" ht="13.8" customHeight="1" spans="1:17" x14ac:dyDescent="0.25">
      <c r="A11" s="103"/>
      <c r="B11" s="99"/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32"/>
      <c r="P11" s="4"/>
      <c r="Q11" s="4"/>
    </row>
    <row r="12" spans="1:17" x14ac:dyDescent="0.25">
      <c r="A12" s="99" t="s">
        <v>345</v>
      </c>
      <c r="B12" s="104" t="s">
        <v>346</v>
      </c>
      <c r="C12" s="99"/>
      <c r="D12" s="99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4"/>
      <c r="P12" s="4"/>
      <c r="Q12" s="4"/>
    </row>
    <row r="13" spans="1:17" x14ac:dyDescent="0.25">
      <c r="A13" s="99"/>
      <c r="B13" s="99"/>
      <c r="C13" s="99" t="s">
        <v>347</v>
      </c>
      <c r="D13" s="99"/>
      <c r="E13" s="105">
        <f>+SALDOS!D74</f>
        <v>13528940.040000001</v>
      </c>
      <c r="F13" s="105"/>
      <c r="G13" s="105">
        <v>70</v>
      </c>
      <c r="H13" s="105"/>
      <c r="I13" s="105"/>
      <c r="J13" s="105"/>
      <c r="K13" s="105">
        <v>0</v>
      </c>
      <c r="L13" s="105"/>
      <c r="M13" s="105"/>
      <c r="N13" s="99"/>
      <c r="O13" s="4"/>
      <c r="P13" s="4"/>
      <c r="Q13" s="4"/>
    </row>
    <row r="14" hidden="1" spans="1:17" x14ac:dyDescent="0.25">
      <c r="A14" s="99"/>
      <c r="B14" s="99"/>
      <c r="C14" s="99" t="s">
        <v>348</v>
      </c>
      <c r="D14" s="99"/>
      <c r="E14" s="105">
        <f>+SALDOS!D73</f>
        <v>0</v>
      </c>
      <c r="F14" s="105"/>
      <c r="G14" s="105"/>
      <c r="H14" s="105"/>
      <c r="I14" s="105"/>
      <c r="J14" s="105"/>
      <c r="K14" s="105"/>
      <c r="L14" s="105"/>
      <c r="M14" s="105"/>
      <c r="N14" s="99"/>
      <c r="O14" s="4"/>
      <c r="P14" s="4"/>
      <c r="Q14" s="4"/>
    </row>
    <row r="15" hidden="1" spans="1:17" x14ac:dyDescent="0.25">
      <c r="A15" s="99"/>
      <c r="B15" s="99"/>
      <c r="C15" s="99" t="s">
        <v>349</v>
      </c>
      <c r="D15" s="99"/>
      <c r="E15" s="105">
        <v>0</v>
      </c>
      <c r="F15" s="105"/>
      <c r="G15" s="105"/>
      <c r="H15" s="105"/>
      <c r="I15" s="105"/>
      <c r="J15" s="105"/>
      <c r="K15" s="105"/>
      <c r="L15" s="105"/>
      <c r="M15" s="105"/>
      <c r="N15" s="99"/>
      <c r="O15" s="4"/>
      <c r="P15" s="4"/>
      <c r="Q15" s="4"/>
    </row>
    <row r="16" ht="13.8" customHeight="1" spans="1:17" x14ac:dyDescent="0.25">
      <c r="A16" s="99"/>
      <c r="B16" s="99"/>
      <c r="C16" s="99"/>
      <c r="D16" s="99"/>
      <c r="E16" s="107">
        <f>SUM(E13:E15)</f>
        <v>13528940.040000001</v>
      </c>
      <c r="F16" s="105"/>
      <c r="G16" s="105"/>
      <c r="H16" s="105"/>
      <c r="I16" s="105"/>
      <c r="J16" s="105"/>
      <c r="K16" s="105"/>
      <c r="L16" s="105"/>
      <c r="M16" s="105"/>
      <c r="N16" s="99"/>
      <c r="O16" s="4"/>
      <c r="P16" s="4"/>
      <c r="Q16" s="4"/>
    </row>
    <row r="17" ht="14.4" customHeight="1" spans="1:17" x14ac:dyDescent="0.25">
      <c r="A17" s="99"/>
      <c r="B17" s="99"/>
      <c r="C17" s="99"/>
      <c r="D17" s="99"/>
      <c r="E17" s="105"/>
      <c r="F17" s="105"/>
      <c r="G17" s="107">
        <f>SUM(G13:G16)</f>
        <v>70</v>
      </c>
      <c r="H17" s="105"/>
      <c r="I17" s="105"/>
      <c r="J17" s="105"/>
      <c r="K17" s="107" t="e">
        <f>SUM(#REF!)</f>
        <v>#REF!</v>
      </c>
      <c r="L17" s="105"/>
      <c r="M17" s="99"/>
      <c r="N17" s="99"/>
      <c r="O17" s="4"/>
      <c r="P17" s="4"/>
      <c r="Q17" s="4"/>
    </row>
    <row r="18" ht="13.8" customHeight="1" spans="1:17" x14ac:dyDescent="0.25">
      <c r="A18" s="99"/>
      <c r="B18" s="99"/>
      <c r="C18" s="99"/>
      <c r="D18" s="99"/>
      <c r="E18" s="105"/>
      <c r="F18" s="105"/>
      <c r="G18" s="105"/>
      <c r="H18" s="105"/>
      <c r="I18" s="105"/>
      <c r="J18" s="105"/>
      <c r="K18" s="105"/>
      <c r="L18" s="99"/>
      <c r="M18" s="99"/>
      <c r="N18" s="99"/>
      <c r="O18" s="4"/>
      <c r="P18" s="4"/>
      <c r="Q18" s="4"/>
    </row>
    <row r="19" spans="1:17" x14ac:dyDescent="0.25">
      <c r="A19" s="99" t="s">
        <v>350</v>
      </c>
      <c r="B19" s="104" t="s">
        <v>351</v>
      </c>
      <c r="C19" s="99"/>
      <c r="D19" s="99"/>
      <c r="E19" s="99"/>
      <c r="F19" s="99"/>
      <c r="G19" s="99"/>
      <c r="H19" s="99"/>
      <c r="I19" s="99"/>
      <c r="J19" s="116"/>
      <c r="K19" s="116"/>
      <c r="L19" s="116"/>
      <c r="M19" s="99"/>
      <c r="N19" s="99"/>
      <c r="O19" s="4"/>
      <c r="P19" s="4"/>
      <c r="Q19" s="4"/>
    </row>
    <row r="20" spans="1:17" x14ac:dyDescent="0.25">
      <c r="A20" s="99"/>
      <c r="B20" s="104"/>
      <c r="C20" s="99" t="s">
        <v>352</v>
      </c>
      <c r="D20" s="99"/>
      <c r="E20" s="105">
        <f>+SALDOS!D78</f>
        <v>587820.73</v>
      </c>
      <c r="F20" s="99"/>
      <c r="G20" s="99"/>
      <c r="H20" s="99"/>
      <c r="I20" s="99"/>
      <c r="J20" s="116"/>
      <c r="K20" s="116"/>
      <c r="L20" s="116"/>
      <c r="M20" s="99"/>
      <c r="N20" s="99"/>
      <c r="O20" s="4"/>
      <c r="P20" s="4"/>
      <c r="Q20" s="4"/>
    </row>
    <row r="21" spans="1:17" x14ac:dyDescent="0.25">
      <c r="A21" s="99"/>
      <c r="B21" s="104"/>
      <c r="C21" s="99" t="s">
        <v>353</v>
      </c>
      <c r="D21" s="99"/>
      <c r="E21" s="105">
        <f>-SALDOS!C79</f>
        <v>-59671.53</v>
      </c>
      <c r="F21" s="99"/>
      <c r="G21" s="99"/>
      <c r="H21" s="99"/>
      <c r="I21" s="99"/>
      <c r="J21" s="116"/>
      <c r="K21" s="116"/>
      <c r="L21" s="116"/>
      <c r="M21" s="99"/>
      <c r="N21" s="99"/>
      <c r="O21" s="4"/>
      <c r="P21" s="4"/>
      <c r="Q21" s="4"/>
    </row>
    <row r="22" spans="1:17" x14ac:dyDescent="0.25">
      <c r="A22" s="99"/>
      <c r="B22" s="104"/>
      <c r="C22" s="99" t="s">
        <v>354</v>
      </c>
      <c r="D22" s="99"/>
      <c r="E22" s="105">
        <f>+SALDOS!D75</f>
        <v>846673.24</v>
      </c>
      <c r="F22" s="99"/>
      <c r="G22" s="99"/>
      <c r="H22" s="99"/>
      <c r="I22" s="99"/>
      <c r="J22" s="99"/>
      <c r="K22" s="99"/>
      <c r="L22" s="99"/>
      <c r="M22" s="99"/>
      <c r="N22" s="99"/>
      <c r="O22" s="4"/>
      <c r="P22" s="4"/>
      <c r="Q22" s="4"/>
    </row>
    <row r="23" hidden="1" spans="1:17" x14ac:dyDescent="0.25">
      <c r="A23" s="99"/>
      <c r="B23" s="104"/>
      <c r="C23" s="99" t="s">
        <v>355</v>
      </c>
      <c r="D23" s="99"/>
      <c r="E23" s="105">
        <v>0</v>
      </c>
      <c r="F23" s="99"/>
      <c r="G23" s="99"/>
      <c r="H23" s="99"/>
      <c r="I23" s="99"/>
      <c r="J23" s="99"/>
      <c r="K23" s="99"/>
      <c r="L23" s="99"/>
      <c r="M23" s="99"/>
      <c r="N23" s="99"/>
      <c r="O23" s="4"/>
      <c r="P23" s="4"/>
      <c r="Q23" s="4"/>
    </row>
    <row r="24" ht="13.8" customHeight="1" spans="1:17" x14ac:dyDescent="0.25">
      <c r="A24" s="99"/>
      <c r="B24" s="99" t="s">
        <v>68</v>
      </c>
      <c r="C24" s="99"/>
      <c r="D24" s="99"/>
      <c r="E24" s="107">
        <f>SUM(E20:E23)</f>
        <v>1374822.44</v>
      </c>
      <c r="F24" s="99"/>
      <c r="G24" s="99"/>
      <c r="H24" s="99"/>
      <c r="I24" s="99"/>
      <c r="J24" s="99"/>
      <c r="K24" s="99"/>
      <c r="L24" s="105"/>
      <c r="M24" s="105"/>
      <c r="N24" s="99"/>
      <c r="O24" s="4"/>
      <c r="P24" s="4"/>
      <c r="Q24" s="4"/>
    </row>
    <row r="25" ht="13.8" customHeight="1" spans="1:17" x14ac:dyDescent="0.25">
      <c r="A25" s="99"/>
      <c r="B25" s="99"/>
      <c r="C25" s="99"/>
      <c r="D25" s="99"/>
      <c r="E25" s="105"/>
      <c r="F25" s="99"/>
      <c r="G25" s="99"/>
      <c r="H25" s="99"/>
      <c r="I25" s="99"/>
      <c r="J25" s="99"/>
      <c r="K25" s="99"/>
      <c r="L25" s="105"/>
      <c r="M25" s="105"/>
      <c r="N25" s="99"/>
      <c r="O25" s="4"/>
      <c r="P25" s="4"/>
      <c r="Q25" s="4"/>
    </row>
    <row r="26" hidden="1" spans="1:17" x14ac:dyDescent="0.25">
      <c r="A26" s="99" t="s">
        <v>356</v>
      </c>
      <c r="B26" s="104" t="s">
        <v>357</v>
      </c>
      <c r="C26" s="99"/>
      <c r="D26" s="99"/>
      <c r="E26" s="105"/>
      <c r="F26" s="99"/>
      <c r="G26" s="99"/>
      <c r="H26" s="99"/>
      <c r="I26" s="99"/>
      <c r="J26" s="99"/>
      <c r="K26" s="99"/>
      <c r="L26" s="105"/>
      <c r="M26" s="105"/>
      <c r="N26" s="99"/>
      <c r="O26" s="4"/>
      <c r="P26" s="4"/>
      <c r="Q26" s="4"/>
    </row>
    <row r="27" hidden="1" spans="1:17" x14ac:dyDescent="0.25">
      <c r="A27" s="99"/>
      <c r="B27" s="99"/>
      <c r="C27" s="99" t="s">
        <v>358</v>
      </c>
      <c r="D27" s="99"/>
      <c r="E27" s="105">
        <f>+SALDOS!D83</f>
        <v>0</v>
      </c>
      <c r="F27" s="99"/>
      <c r="G27" s="99"/>
      <c r="H27" s="99"/>
      <c r="I27" s="99"/>
      <c r="J27" s="99"/>
      <c r="K27" s="99"/>
      <c r="L27" s="105"/>
      <c r="M27" s="105"/>
      <c r="N27" s="99"/>
      <c r="O27" s="4"/>
      <c r="P27" s="4"/>
      <c r="Q27" s="4"/>
    </row>
    <row r="28" hidden="1" spans="1:17" x14ac:dyDescent="0.25">
      <c r="A28" s="99"/>
      <c r="B28" s="99"/>
      <c r="C28" s="99" t="s">
        <v>359</v>
      </c>
      <c r="D28" s="99"/>
      <c r="E28" s="105">
        <v>0</v>
      </c>
      <c r="F28" s="99"/>
      <c r="G28" s="99"/>
      <c r="H28" s="99"/>
      <c r="I28" s="99"/>
      <c r="J28" s="99"/>
      <c r="K28" s="99"/>
      <c r="L28" s="105"/>
      <c r="M28" s="105"/>
      <c r="N28" s="99"/>
      <c r="O28" s="4"/>
      <c r="P28" s="4"/>
      <c r="Q28" s="4"/>
    </row>
    <row r="29" hidden="1" spans="1:17" x14ac:dyDescent="0.25">
      <c r="A29" s="99"/>
      <c r="B29" s="99"/>
      <c r="C29" s="99" t="s">
        <v>360</v>
      </c>
      <c r="D29" s="99"/>
      <c r="E29" s="105">
        <v>0</v>
      </c>
      <c r="F29" s="99"/>
      <c r="G29" s="99"/>
      <c r="H29" s="99"/>
      <c r="I29" s="99"/>
      <c r="J29" s="99"/>
      <c r="K29" s="99"/>
      <c r="L29" s="105"/>
      <c r="M29" s="105"/>
      <c r="N29" s="99"/>
      <c r="O29" s="4"/>
      <c r="P29" s="4"/>
      <c r="Q29" s="4"/>
    </row>
    <row r="30" hidden="1" spans="1:17" x14ac:dyDescent="0.25">
      <c r="A30" s="99"/>
      <c r="B30" s="99"/>
      <c r="C30" s="99" t="s">
        <v>361</v>
      </c>
      <c r="D30" s="99"/>
      <c r="E30" s="105">
        <v>0</v>
      </c>
      <c r="F30" s="99"/>
      <c r="G30" s="99"/>
      <c r="H30" s="99"/>
      <c r="I30" s="99"/>
      <c r="J30" s="99"/>
      <c r="K30" s="99"/>
      <c r="L30" s="105"/>
      <c r="M30" s="105"/>
      <c r="N30" s="99"/>
      <c r="O30" s="4"/>
      <c r="P30" s="4"/>
      <c r="Q30" s="4"/>
    </row>
    <row r="31" hidden="1" spans="1:17" x14ac:dyDescent="0.25">
      <c r="A31" s="99"/>
      <c r="B31" s="99"/>
      <c r="C31" s="99" t="s">
        <v>362</v>
      </c>
      <c r="D31" s="99"/>
      <c r="E31" s="105">
        <f>+SALDOS!D18</f>
        <v>0</v>
      </c>
      <c r="F31" s="99"/>
      <c r="G31" s="99"/>
      <c r="H31" s="99"/>
      <c r="I31" s="99"/>
      <c r="J31" s="99"/>
      <c r="K31" s="99"/>
      <c r="L31" s="105"/>
      <c r="M31" s="105"/>
      <c r="N31" s="99"/>
      <c r="O31" s="4"/>
      <c r="P31" s="4"/>
      <c r="Q31" s="4"/>
    </row>
    <row r="32" hidden="1" spans="1:17" x14ac:dyDescent="0.25">
      <c r="A32" s="99"/>
      <c r="B32" s="99"/>
      <c r="C32" s="99" t="s">
        <v>363</v>
      </c>
      <c r="D32" s="99"/>
      <c r="E32" s="105">
        <f>+SALDOS!D19</f>
        <v>0</v>
      </c>
      <c r="F32" s="99"/>
      <c r="G32" s="99"/>
      <c r="H32" s="99"/>
      <c r="I32" s="99"/>
      <c r="J32" s="99"/>
      <c r="K32" s="99"/>
      <c r="L32" s="105"/>
      <c r="M32" s="105"/>
      <c r="N32" s="99"/>
      <c r="O32" s="4"/>
      <c r="P32" s="4"/>
      <c r="Q32" s="4"/>
    </row>
    <row r="33" ht="13.8" customHeight="1" hidden="1" spans="1:17" x14ac:dyDescent="0.25">
      <c r="A33" s="99"/>
      <c r="B33" s="99"/>
      <c r="C33" s="99"/>
      <c r="D33" s="99"/>
      <c r="E33" s="107">
        <f>SUM(E27:E32)</f>
        <v>0</v>
      </c>
      <c r="F33" s="99"/>
      <c r="G33" s="99"/>
      <c r="H33" s="99"/>
      <c r="I33" s="99"/>
      <c r="J33" s="99"/>
      <c r="K33" s="99"/>
      <c r="L33" s="105"/>
      <c r="M33" s="105"/>
      <c r="N33" s="99"/>
      <c r="O33" s="4"/>
      <c r="P33" s="4"/>
      <c r="Q33" s="4"/>
    </row>
    <row r="34" spans="1:17" x14ac:dyDescent="0.25">
      <c r="A34" s="99"/>
      <c r="B34" s="99"/>
      <c r="C34" s="99"/>
      <c r="D34" s="99"/>
      <c r="E34" s="105"/>
      <c r="F34" s="99"/>
      <c r="G34" s="99"/>
      <c r="H34" s="99"/>
      <c r="I34" s="99"/>
      <c r="J34" s="99"/>
      <c r="K34" s="99"/>
      <c r="L34" s="99"/>
      <c r="M34" s="99"/>
      <c r="N34" s="99"/>
      <c r="O34" s="4"/>
      <c r="P34" s="4"/>
      <c r="Q34" s="4"/>
    </row>
    <row r="35" spans="1:17" x14ac:dyDescent="0.25">
      <c r="A35" s="99" t="s">
        <v>242</v>
      </c>
      <c r="B35" s="99"/>
      <c r="C35" s="99"/>
      <c r="D35" s="99"/>
      <c r="E35" s="99"/>
      <c r="F35" s="99"/>
      <c r="G35" s="99"/>
      <c r="H35" s="99"/>
      <c r="I35" s="99"/>
      <c r="J35" s="117"/>
      <c r="K35" s="117"/>
      <c r="L35" s="117"/>
      <c r="M35" s="99"/>
      <c r="N35" s="99"/>
      <c r="O35" s="4"/>
      <c r="P35" s="4"/>
      <c r="Q35" s="4"/>
    </row>
    <row r="36" spans="1:17" x14ac:dyDescent="0.25">
      <c r="A36" s="99" t="s">
        <v>243</v>
      </c>
      <c r="B36" s="99"/>
      <c r="C36" s="99"/>
      <c r="D36" s="99"/>
      <c r="E36" s="99"/>
      <c r="F36" s="99"/>
      <c r="G36" s="99"/>
      <c r="H36" s="99"/>
      <c r="I36" s="99"/>
      <c r="J36" s="117"/>
      <c r="K36" s="117"/>
      <c r="L36" s="117"/>
      <c r="M36" s="99"/>
      <c r="N36" s="99"/>
      <c r="O36" s="4"/>
      <c r="P36" s="4"/>
      <c r="Q36" s="4"/>
    </row>
    <row r="37" spans="1:17" x14ac:dyDescent="0.25">
      <c r="A37" s="99"/>
      <c r="B37" s="99"/>
      <c r="C37" s="99"/>
      <c r="D37" s="99"/>
      <c r="E37" s="99"/>
      <c r="F37" s="99"/>
      <c r="G37" s="99"/>
      <c r="H37" s="99"/>
      <c r="I37" s="99"/>
      <c r="J37" s="117"/>
      <c r="K37" s="117"/>
      <c r="L37" s="117"/>
      <c r="M37" s="99"/>
      <c r="N37" s="99"/>
      <c r="O37" s="4"/>
      <c r="P37" s="4"/>
      <c r="Q37" s="4"/>
    </row>
    <row r="38" spans="1:17" x14ac:dyDescent="0.25">
      <c r="A38" s="99"/>
      <c r="B38" s="99"/>
      <c r="C38" s="99"/>
      <c r="D38" s="99"/>
      <c r="E38" s="99"/>
      <c r="F38" s="99"/>
      <c r="G38" s="99"/>
      <c r="H38" s="99"/>
      <c r="I38" s="99"/>
      <c r="J38" s="117"/>
      <c r="K38" s="117"/>
      <c r="L38" s="117"/>
      <c r="M38" s="99"/>
      <c r="N38" s="99"/>
      <c r="O38" s="4"/>
      <c r="P38" s="4"/>
      <c r="Q38" s="4"/>
    </row>
    <row r="39" spans="1:17" x14ac:dyDescent="0.25">
      <c r="A39" s="99"/>
      <c r="B39" s="99"/>
      <c r="C39" s="99"/>
      <c r="D39" s="99"/>
      <c r="E39" s="99"/>
      <c r="F39" s="99"/>
      <c r="G39" s="99"/>
      <c r="H39" s="99"/>
      <c r="I39" s="99"/>
      <c r="J39" s="117"/>
      <c r="K39" s="117"/>
      <c r="L39" s="117"/>
      <c r="M39" s="99"/>
      <c r="N39" s="99"/>
      <c r="O39" s="4"/>
      <c r="P39" s="4"/>
      <c r="Q39" s="4"/>
    </row>
    <row r="40" spans="1:17" x14ac:dyDescent="0.25">
      <c r="A40" s="99"/>
      <c r="B40" s="99"/>
      <c r="C40" s="99"/>
      <c r="D40" s="99"/>
      <c r="E40" s="99"/>
      <c r="F40" s="99"/>
      <c r="G40" s="99"/>
      <c r="H40" s="99"/>
      <c r="I40" s="99"/>
      <c r="J40" s="117"/>
      <c r="K40" s="117"/>
      <c r="L40" s="117"/>
      <c r="M40" s="99"/>
      <c r="N40" s="99"/>
      <c r="O40" s="4"/>
      <c r="P40" s="4"/>
      <c r="Q40" s="4"/>
    </row>
    <row r="41" spans="1:17" x14ac:dyDescent="0.25">
      <c r="A41" s="99"/>
      <c r="B41" s="99"/>
      <c r="C41" s="99"/>
      <c r="D41" s="99"/>
      <c r="E41" s="99"/>
      <c r="F41" s="99"/>
      <c r="G41" s="99"/>
      <c r="H41" s="99"/>
      <c r="I41" s="99"/>
      <c r="J41" s="117"/>
      <c r="K41" s="117"/>
      <c r="L41" s="117"/>
      <c r="M41" s="99"/>
      <c r="N41" s="99"/>
      <c r="O41" s="4"/>
      <c r="P41" s="4"/>
      <c r="Q41" s="4"/>
    </row>
    <row r="42" spans="1:17" x14ac:dyDescent="0.25">
      <c r="A42" s="117"/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99"/>
      <c r="N42" s="99"/>
      <c r="O42" s="4"/>
      <c r="P42" s="4"/>
      <c r="Q42" s="4"/>
    </row>
    <row r="43" spans="1:17" x14ac:dyDescent="0.25">
      <c r="A43" s="99"/>
      <c r="B43" s="99"/>
      <c r="C43" s="117" t="s">
        <v>244</v>
      </c>
      <c r="D43" s="117"/>
      <c r="E43" s="117" t="s">
        <v>245</v>
      </c>
      <c r="F43" s="117"/>
      <c r="G43" s="117"/>
      <c r="H43" s="117"/>
      <c r="I43" s="117"/>
      <c r="J43" s="117"/>
      <c r="K43" s="117"/>
      <c r="L43" s="117"/>
      <c r="M43" s="117"/>
      <c r="N43" s="99"/>
      <c r="O43" s="4"/>
      <c r="P43" s="4"/>
      <c r="Q43" s="4"/>
    </row>
    <row r="44" spans="1:17" x14ac:dyDescent="0.25">
      <c r="A44" s="99"/>
      <c r="B44" s="99"/>
      <c r="C44" s="117" t="s">
        <v>246</v>
      </c>
      <c r="D44" s="117"/>
      <c r="E44" s="117" t="s">
        <v>247</v>
      </c>
      <c r="F44" s="117"/>
      <c r="G44" s="117"/>
      <c r="H44" s="117"/>
      <c r="I44" s="117"/>
      <c r="J44" s="117"/>
      <c r="K44" s="117"/>
      <c r="L44" s="117"/>
      <c r="M44" s="117"/>
      <c r="N44" s="99"/>
      <c r="O44" s="4"/>
      <c r="P44" s="4"/>
      <c r="Q44" s="4"/>
    </row>
    <row r="45" spans="1:17" x14ac:dyDescent="0.25">
      <c r="A45" s="99"/>
      <c r="B45" s="99"/>
      <c r="C45" s="117" t="s">
        <v>248</v>
      </c>
      <c r="D45" s="117"/>
      <c r="E45" s="117" t="s">
        <v>249</v>
      </c>
      <c r="F45" s="117"/>
      <c r="G45" s="117"/>
      <c r="H45" s="117"/>
      <c r="I45" s="117"/>
      <c r="J45" s="117"/>
      <c r="K45" s="117"/>
      <c r="L45" s="117"/>
      <c r="M45" s="117"/>
      <c r="N45" s="99"/>
      <c r="O45" s="4"/>
      <c r="P45" s="4"/>
      <c r="Q45" s="4"/>
    </row>
    <row r="46" spans="1:17" x14ac:dyDescent="0.25">
      <c r="A46" s="115"/>
      <c r="B46" s="115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4"/>
      <c r="O46" s="4"/>
      <c r="P46" s="4"/>
      <c r="Q46" s="4"/>
    </row>
  </sheetData>
  <mergeCells count="8">
    <mergeCell ref="A42:C42"/>
    <mergeCell ref="D42:L42"/>
    <mergeCell ref="C43:D43"/>
    <mergeCell ref="E43:M43"/>
    <mergeCell ref="C44:D44"/>
    <mergeCell ref="E44:M44"/>
    <mergeCell ref="C45:D45"/>
    <mergeCell ref="E45:M45"/>
  </mergeCell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1"/>
  <sheetViews>
    <sheetView workbookViewId="0" zoomScale="100" zoomScaleNormal="100"/>
  </sheetViews>
  <sheetFormatPr defaultRowHeight="0" outlineLevelRow="0" outlineLevelCol="0" x14ac:dyDescent="0" customHeight="1"/>
  <cols>
    <col min="1" max="1" width="17.5546875" customWidth="1"/>
    <col min="2" max="2" width="18.109375" customWidth="1"/>
    <col min="3" max="3" width="13.5546875" customWidth="1"/>
    <col min="4" max="4" width="15.33203125" customWidth="1"/>
    <col min="5" max="5" width="13.6640625" customWidth="1"/>
    <col min="6" max="6" width="15.44140625" customWidth="1"/>
    <col min="7" max="7" width="13.33203125" hidden="1" customWidth="1"/>
    <col min="8" max="8" width="14.109375" customWidth="1"/>
    <col min="9" max="9" width="16.5546875" customWidth="1"/>
    <col min="10" max="10" width="15.88671875" customWidth="1"/>
    <col min="11" max="11" width="13.88671875" customWidth="1"/>
    <col min="12" max="257" width="18.109375" customWidth="1"/>
  </cols>
  <sheetData>
    <row r="1" ht="15" customHeight="1" spans="1:13" x14ac:dyDescent="0.25">
      <c r="A1" s="110"/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40"/>
      <c r="M1" s="40"/>
    </row>
    <row r="2" spans="1:13" x14ac:dyDescent="0.25">
      <c r="A2" s="110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40"/>
      <c r="M2" s="40"/>
    </row>
    <row r="3" ht="14.4" customHeight="1" spans="1:13" x14ac:dyDescent="0.25">
      <c r="A3" s="110"/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40"/>
      <c r="M3" s="40"/>
    </row>
    <row r="4" ht="14.4" customHeight="1" spans="1:13" x14ac:dyDescent="0.25">
      <c r="A4" s="118" t="s">
        <v>364</v>
      </c>
      <c r="B4" s="119"/>
      <c r="C4" s="119"/>
      <c r="D4" s="119"/>
      <c r="E4" s="119"/>
      <c r="F4" s="119"/>
      <c r="G4" s="119"/>
      <c r="H4" s="119"/>
      <c r="I4" s="119"/>
      <c r="J4" s="119"/>
      <c r="K4" s="120"/>
      <c r="L4" s="40"/>
      <c r="M4" s="40"/>
    </row>
    <row r="5" spans="1:13" x14ac:dyDescent="0.25">
      <c r="A5" s="121" t="str">
        <f>+Activo!B3</f>
        <v>Al 31  de Julio de 2026 - cifras expresadas en Pesos</v>
      </c>
      <c r="B5" s="122"/>
      <c r="C5" s="122"/>
      <c r="D5" s="122"/>
      <c r="E5" s="122"/>
      <c r="F5" s="122"/>
      <c r="G5" s="122"/>
      <c r="H5" s="122"/>
      <c r="I5" s="122"/>
      <c r="J5" s="122"/>
      <c r="K5" s="123"/>
      <c r="L5" s="40"/>
      <c r="M5" s="40"/>
    </row>
    <row r="6" spans="1:13" x14ac:dyDescent="0.25">
      <c r="A6" s="124" t="s">
        <v>68</v>
      </c>
      <c r="B6" s="110"/>
      <c r="C6" s="110"/>
      <c r="D6" s="110"/>
      <c r="E6" s="110"/>
      <c r="F6" s="110"/>
      <c r="G6" s="110"/>
      <c r="H6" s="110"/>
      <c r="I6" s="110"/>
      <c r="J6" s="110"/>
      <c r="K6" s="125"/>
      <c r="L6" s="40"/>
      <c r="M6" s="40"/>
    </row>
    <row r="7" spans="1:13" x14ac:dyDescent="0.25">
      <c r="A7" s="126" t="s">
        <v>68</v>
      </c>
      <c r="B7" s="127"/>
      <c r="C7" s="127"/>
      <c r="D7" s="127"/>
      <c r="E7" s="127"/>
      <c r="F7" s="127"/>
      <c r="G7" s="127"/>
      <c r="H7" s="127"/>
      <c r="I7" s="127"/>
      <c r="J7" s="127"/>
      <c r="K7" s="128"/>
      <c r="L7" s="40"/>
      <c r="M7" s="40"/>
    </row>
    <row r="8" spans="1:13" x14ac:dyDescent="0.25">
      <c r="A8" s="129" t="s">
        <v>68</v>
      </c>
      <c r="B8" s="130" t="s">
        <v>365</v>
      </c>
      <c r="C8" s="131"/>
      <c r="D8" s="131"/>
      <c r="E8" s="132"/>
      <c r="F8" s="130" t="s">
        <v>366</v>
      </c>
      <c r="G8" s="131"/>
      <c r="H8" s="131"/>
      <c r="I8" s="131"/>
      <c r="J8" s="132"/>
      <c r="K8" s="133"/>
      <c r="L8" s="40"/>
      <c r="M8" s="40"/>
    </row>
    <row r="9" spans="1:13" x14ac:dyDescent="0.25">
      <c r="A9" s="134"/>
      <c r="B9" s="135" t="s">
        <v>367</v>
      </c>
      <c r="C9" s="135"/>
      <c r="D9" s="135"/>
      <c r="E9" s="135" t="s">
        <v>367</v>
      </c>
      <c r="F9" s="135" t="s">
        <v>368</v>
      </c>
      <c r="G9" s="130" t="s">
        <v>369</v>
      </c>
      <c r="H9" s="131"/>
      <c r="I9" s="132"/>
      <c r="J9" s="135" t="s">
        <v>370</v>
      </c>
      <c r="K9" s="136" t="s">
        <v>371</v>
      </c>
      <c r="L9" s="40"/>
      <c r="M9" s="40"/>
    </row>
    <row r="10" spans="1:13" x14ac:dyDescent="0.25">
      <c r="A10" s="137" t="s">
        <v>266</v>
      </c>
      <c r="B10" s="135" t="s">
        <v>372</v>
      </c>
      <c r="C10" s="135" t="s">
        <v>373</v>
      </c>
      <c r="D10" s="135" t="s">
        <v>374</v>
      </c>
      <c r="E10" s="135" t="s">
        <v>375</v>
      </c>
      <c r="F10" s="135" t="s">
        <v>376</v>
      </c>
      <c r="G10" s="135" t="s">
        <v>377</v>
      </c>
      <c r="H10" s="135" t="s">
        <v>378</v>
      </c>
      <c r="I10" s="135" t="s">
        <v>379</v>
      </c>
      <c r="J10" s="135" t="s">
        <v>380</v>
      </c>
      <c r="K10" s="136" t="s">
        <v>381</v>
      </c>
      <c r="L10" s="40"/>
      <c r="M10" s="40"/>
    </row>
    <row r="11" spans="1:13" x14ac:dyDescent="0.25">
      <c r="A11" s="134"/>
      <c r="B11" s="135" t="s">
        <v>382</v>
      </c>
      <c r="C11" s="135"/>
      <c r="D11" s="135"/>
      <c r="E11" s="135" t="s">
        <v>382</v>
      </c>
      <c r="F11" s="135" t="s">
        <v>382</v>
      </c>
      <c r="G11" s="135"/>
      <c r="H11" s="135"/>
      <c r="I11" s="135"/>
      <c r="J11" s="135" t="s">
        <v>382</v>
      </c>
      <c r="K11" s="138">
        <f>+EESP!F13</f>
        <v>46234</v>
      </c>
      <c r="L11" s="40"/>
      <c r="M11" s="40"/>
    </row>
    <row r="12" spans="1:13" x14ac:dyDescent="0.25">
      <c r="A12" s="134"/>
      <c r="B12" s="135" t="s">
        <v>286</v>
      </c>
      <c r="C12" s="135" t="s">
        <v>286</v>
      </c>
      <c r="D12" s="135" t="s">
        <v>286</v>
      </c>
      <c r="E12" s="135" t="s">
        <v>286</v>
      </c>
      <c r="F12" s="135" t="s">
        <v>286</v>
      </c>
      <c r="G12" s="135" t="s">
        <v>286</v>
      </c>
      <c r="H12" s="135"/>
      <c r="I12" s="135" t="s">
        <v>286</v>
      </c>
      <c r="J12" s="135" t="s">
        <v>286</v>
      </c>
      <c r="K12" s="136" t="s">
        <v>286</v>
      </c>
      <c r="L12" s="40"/>
      <c r="M12" s="40"/>
    </row>
    <row r="13" spans="1:13" x14ac:dyDescent="0.25">
      <c r="A13" s="139"/>
      <c r="B13" s="140"/>
      <c r="C13" s="140"/>
      <c r="D13" s="140"/>
      <c r="E13" s="140"/>
      <c r="F13" s="140"/>
      <c r="G13" s="140"/>
      <c r="H13" s="140"/>
      <c r="I13" s="140"/>
      <c r="J13" s="140"/>
      <c r="K13" s="141"/>
      <c r="L13" s="40"/>
      <c r="M13" s="40"/>
    </row>
    <row r="14" spans="1:13" x14ac:dyDescent="0.25">
      <c r="A14" s="134" t="s">
        <v>383</v>
      </c>
      <c r="B14" s="142">
        <v>754089.29</v>
      </c>
      <c r="C14" s="142">
        <f>+E14-B14</f>
        <v>0</v>
      </c>
      <c r="D14" s="142">
        <v>0</v>
      </c>
      <c r="E14" s="142">
        <f>+B14</f>
        <v>754089.29</v>
      </c>
      <c r="F14" s="142">
        <v>754089.29</v>
      </c>
      <c r="G14" s="142">
        <v>0</v>
      </c>
      <c r="H14" s="143">
        <v>0.2</v>
      </c>
      <c r="I14" s="142">
        <f>+J14-F14</f>
        <v>0</v>
      </c>
      <c r="J14" s="142">
        <f>+SALDOS!D39</f>
        <v>754089.29</v>
      </c>
      <c r="K14" s="144">
        <f>+E14-J14</f>
        <v>0</v>
      </c>
      <c r="L14" s="82"/>
      <c r="M14" s="40"/>
    </row>
    <row r="15" spans="1:13" x14ac:dyDescent="0.25">
      <c r="A15" s="134" t="s">
        <v>384</v>
      </c>
      <c r="B15" s="142">
        <v>349454.86</v>
      </c>
      <c r="C15" s="142">
        <f>+E15-B15</f>
        <v>0</v>
      </c>
      <c r="D15" s="142">
        <v>0</v>
      </c>
      <c r="E15" s="142">
        <f>+B15</f>
        <v>349454.86</v>
      </c>
      <c r="F15" s="142">
        <v>349454.86</v>
      </c>
      <c r="G15" s="142">
        <v>0</v>
      </c>
      <c r="H15" s="143">
        <v>0.2</v>
      </c>
      <c r="I15" s="142">
        <f>+J15-F15</f>
        <v>0</v>
      </c>
      <c r="J15" s="142">
        <f>+SALDOS!D43</f>
        <v>349454.86</v>
      </c>
      <c r="K15" s="144">
        <f>+E15-J15</f>
        <v>0</v>
      </c>
      <c r="L15" s="82"/>
      <c r="M15" s="82"/>
    </row>
    <row r="16" spans="1:13" x14ac:dyDescent="0.25">
      <c r="A16" s="134" t="s">
        <v>385</v>
      </c>
      <c r="B16" s="142">
        <v>19271905.73</v>
      </c>
      <c r="C16" s="142">
        <f>+SALDOS!C34-'Anexo I'!B16</f>
        <v>0</v>
      </c>
      <c r="D16" s="142">
        <v>0</v>
      </c>
      <c r="E16" s="142">
        <f>+B16+C16</f>
        <v>19271905.73</v>
      </c>
      <c r="F16" s="142">
        <v>16777769.37</v>
      </c>
      <c r="G16" s="142">
        <v>0</v>
      </c>
      <c r="H16" s="143">
        <v>0.2</v>
      </c>
      <c r="I16" s="142">
        <f>+J16-F16</f>
        <v>602032.9100000001</v>
      </c>
      <c r="J16" s="142">
        <f>+SALDOS!D44</f>
        <v>17379802.28</v>
      </c>
      <c r="K16" s="144">
        <f>+E16-J16</f>
        <v>1892103.4499999993</v>
      </c>
      <c r="L16" s="82"/>
      <c r="M16" s="40"/>
    </row>
    <row r="17" spans="1:13" x14ac:dyDescent="0.25">
      <c r="A17" s="134" t="s">
        <v>386</v>
      </c>
      <c r="B17" s="142">
        <v>2833073.66</v>
      </c>
      <c r="C17" s="142">
        <f>+E17-B17</f>
        <v>0</v>
      </c>
      <c r="D17" s="142">
        <v>0</v>
      </c>
      <c r="E17" s="142">
        <f>+B17</f>
        <v>2833073.66</v>
      </c>
      <c r="F17" s="142">
        <v>2833073.66</v>
      </c>
      <c r="G17" s="142">
        <v>0</v>
      </c>
      <c r="H17" s="143">
        <v>0.2</v>
      </c>
      <c r="I17" s="142">
        <f>+J17-F17</f>
        <v>0</v>
      </c>
      <c r="J17" s="142">
        <f>+SALDOS!D41</f>
        <v>2833073.66</v>
      </c>
      <c r="K17" s="144">
        <f>+E17-J17</f>
        <v>0</v>
      </c>
      <c r="L17" s="82"/>
      <c r="M17" s="82"/>
    </row>
    <row r="18" spans="1:13" x14ac:dyDescent="0.25">
      <c r="A18" s="134" t="s">
        <v>387</v>
      </c>
      <c r="B18" s="142">
        <v>2913406.48</v>
      </c>
      <c r="C18" s="142">
        <v>0</v>
      </c>
      <c r="D18" s="142">
        <v>0</v>
      </c>
      <c r="E18" s="142">
        <f>+B18+C18</f>
        <v>2913406.48</v>
      </c>
      <c r="F18" s="142">
        <v>2735631.61</v>
      </c>
      <c r="G18" s="142">
        <v>0</v>
      </c>
      <c r="H18" s="143">
        <v>0.1</v>
      </c>
      <c r="I18" s="142">
        <f>+J18-F18</f>
        <v>25925.5</v>
      </c>
      <c r="J18" s="142">
        <f>+SALDOS!D40</f>
        <v>2761557.11</v>
      </c>
      <c r="K18" s="144">
        <f>+E18-J18</f>
        <v>151849.3700000001</v>
      </c>
      <c r="L18" s="82"/>
      <c r="M18" s="82"/>
    </row>
    <row r="19" spans="1:13" x14ac:dyDescent="0.25">
      <c r="A19" s="134" t="s">
        <v>388</v>
      </c>
      <c r="B19" s="142">
        <v>9934406.71</v>
      </c>
      <c r="C19" s="142">
        <f>+E19-B19</f>
        <v>0</v>
      </c>
      <c r="D19" s="142">
        <v>0</v>
      </c>
      <c r="E19" s="142">
        <f>+B19</f>
        <v>9934406.71</v>
      </c>
      <c r="F19" s="142">
        <v>9934406.71</v>
      </c>
      <c r="G19" s="142">
        <v>0</v>
      </c>
      <c r="H19" s="145" t="s">
        <v>389</v>
      </c>
      <c r="I19" s="142">
        <f>+J19-F19</f>
        <v>0</v>
      </c>
      <c r="J19" s="142">
        <f>+SALDOS!D42</f>
        <v>9934406.71</v>
      </c>
      <c r="K19" s="144">
        <f>+E19-J19</f>
        <v>0</v>
      </c>
      <c r="L19" s="82"/>
      <c r="M19" s="40"/>
    </row>
    <row r="20" spans="1:13" x14ac:dyDescent="0.25">
      <c r="A20" s="134" t="s">
        <v>390</v>
      </c>
      <c r="B20" s="142">
        <v>166243613.31</v>
      </c>
      <c r="C20" s="142">
        <v>0</v>
      </c>
      <c r="D20" s="142">
        <v>0</v>
      </c>
      <c r="E20" s="142">
        <f>+B20+C20-D20</f>
        <v>166243613.31</v>
      </c>
      <c r="F20" s="142">
        <v>74041450.65</v>
      </c>
      <c r="G20" s="142"/>
      <c r="H20" s="143">
        <v>0.2</v>
      </c>
      <c r="I20" s="142">
        <f>+J20-F20</f>
        <v>16769129.879999995</v>
      </c>
      <c r="J20" s="142">
        <f>+SALDOS!D45</f>
        <v>90810580.53</v>
      </c>
      <c r="K20" s="144">
        <f>+E20-J20</f>
        <v>75433032.78</v>
      </c>
      <c r="L20" s="82"/>
      <c r="M20" s="40"/>
    </row>
    <row r="21" ht="14.4" customHeight="1" spans="1:13" x14ac:dyDescent="0.25">
      <c r="A21" s="146" t="str">
        <f>+EEPN!B17</f>
        <v>Total al 31.7.2026</v>
      </c>
      <c r="B21" s="147">
        <f>SUM(B14:B20)</f>
        <v>202299950.04000002</v>
      </c>
      <c r="C21" s="147">
        <f>SUM(C14:C20)</f>
        <v>0</v>
      </c>
      <c r="D21" s="147">
        <f>SUM(D14:D20)</f>
        <v>0</v>
      </c>
      <c r="E21" s="147">
        <f>SUM(E14:E20)</f>
        <v>202299950.04000002</v>
      </c>
      <c r="F21" s="147">
        <f>SUM(F14:F20)</f>
        <v>107425876.15</v>
      </c>
      <c r="G21" s="147">
        <f>SUM(G14:G20)</f>
        <v>0</v>
      </c>
      <c r="H21" s="147"/>
      <c r="I21" s="147">
        <f>SUM(I14:I20)</f>
        <v>17397088.289999995</v>
      </c>
      <c r="J21" s="147">
        <f>SUM(J14:J20)</f>
        <v>124822964.44</v>
      </c>
      <c r="K21" s="148">
        <f>SUM(K14:K20)</f>
        <v>77476985.6</v>
      </c>
      <c r="L21" s="82"/>
      <c r="M21" s="40"/>
    </row>
    <row r="22" ht="14.4" customHeight="1" spans="1:13" x14ac:dyDescent="0.25">
      <c r="A22" s="110"/>
      <c r="B22" s="110"/>
      <c r="C22" s="110"/>
      <c r="D22" s="111"/>
      <c r="E22" s="111"/>
      <c r="F22" s="111"/>
      <c r="G22" s="111"/>
      <c r="H22" s="110"/>
      <c r="I22" s="111"/>
      <c r="J22" s="111"/>
      <c r="K22" s="111"/>
      <c r="L22" s="40"/>
      <c r="M22" s="40"/>
    </row>
    <row r="23" spans="1:13" x14ac:dyDescent="0.25">
      <c r="A23" s="110" t="s">
        <v>242</v>
      </c>
      <c r="B23" s="111"/>
      <c r="C23" s="110"/>
      <c r="D23" s="110"/>
      <c r="E23" s="111"/>
      <c r="F23" s="111"/>
      <c r="G23" s="111"/>
      <c r="H23" s="110"/>
      <c r="I23" s="149"/>
      <c r="J23" s="111"/>
      <c r="K23" s="110"/>
      <c r="L23" s="40"/>
      <c r="M23" s="40"/>
    </row>
    <row r="24" spans="1:13" x14ac:dyDescent="0.25">
      <c r="A24" s="110" t="s">
        <v>243</v>
      </c>
      <c r="B24" s="110"/>
      <c r="C24" s="110"/>
      <c r="D24" s="111"/>
      <c r="E24" s="111"/>
      <c r="F24" s="111"/>
      <c r="G24" s="111"/>
      <c r="H24" s="110"/>
      <c r="I24" s="111"/>
      <c r="J24" s="111"/>
      <c r="K24" s="110"/>
      <c r="L24" s="40"/>
      <c r="M24" s="40"/>
    </row>
    <row r="25" spans="1:13" x14ac:dyDescent="0.25">
      <c r="A25" s="110"/>
      <c r="B25" s="111"/>
      <c r="C25" s="111"/>
      <c r="D25" s="111"/>
      <c r="E25" s="40"/>
      <c r="F25" s="111"/>
      <c r="G25" s="111"/>
      <c r="H25" s="111"/>
      <c r="I25" s="150"/>
      <c r="J25" s="111"/>
      <c r="K25" s="111"/>
      <c r="L25" s="40"/>
      <c r="M25" s="40"/>
    </row>
    <row r="26" spans="1:13" x14ac:dyDescent="0.25">
      <c r="A26" s="110"/>
      <c r="B26" s="110"/>
      <c r="C26" s="110"/>
      <c r="D26" s="111"/>
      <c r="E26" s="110"/>
      <c r="F26" s="110"/>
      <c r="G26" s="110"/>
      <c r="H26" s="110"/>
      <c r="I26" s="110"/>
      <c r="J26" s="110"/>
      <c r="K26" s="111"/>
      <c r="L26" s="40"/>
      <c r="M26" s="40"/>
    </row>
    <row r="27" spans="1:13" x14ac:dyDescent="0.25">
      <c r="A27" s="110"/>
      <c r="B27" s="110"/>
      <c r="C27" s="122" t="str">
        <f>+EEPN!C25</f>
        <v>Miguel Ángel Alonso</v>
      </c>
      <c r="D27" s="122"/>
      <c r="E27" s="110"/>
      <c r="F27" s="122"/>
      <c r="G27" s="122"/>
      <c r="H27" s="122"/>
      <c r="I27" s="122" t="str">
        <f>+EEPN!H25</f>
        <v>Tomas Furlong</v>
      </c>
      <c r="J27" s="110"/>
      <c r="K27" s="110"/>
      <c r="L27" s="40"/>
      <c r="M27" s="40"/>
    </row>
    <row r="28" spans="1:13" x14ac:dyDescent="0.25">
      <c r="A28" s="110"/>
      <c r="B28" s="110"/>
      <c r="C28" s="122" t="str">
        <f>+EEPN!C26</f>
        <v>Contador Público (UCA)</v>
      </c>
      <c r="D28" s="122"/>
      <c r="E28" s="110"/>
      <c r="F28" s="122"/>
      <c r="G28" s="122"/>
      <c r="H28" s="122"/>
      <c r="I28" s="122" t="str">
        <f>+EEPN!H26</f>
        <v>Transportes Furlong S.A.</v>
      </c>
      <c r="J28" s="110"/>
      <c r="K28" s="110"/>
      <c r="L28" s="40"/>
      <c r="M28" s="40"/>
    </row>
    <row r="29" spans="1:13" x14ac:dyDescent="0.25">
      <c r="A29" s="110"/>
      <c r="B29" s="110"/>
      <c r="C29" s="122" t="str">
        <f>+EEPN!C27</f>
        <v>C.P.C.E.C.A.B.A. Tº176 Fº3</v>
      </c>
      <c r="D29" s="122"/>
      <c r="E29" s="122"/>
      <c r="F29" s="122"/>
      <c r="G29" s="122"/>
      <c r="H29" s="122"/>
      <c r="I29" s="122" t="str">
        <f>+EEPN!H27</f>
        <v>Apoderado</v>
      </c>
      <c r="J29" s="110"/>
      <c r="K29" s="110"/>
      <c r="L29" s="40"/>
      <c r="M29" s="40"/>
    </row>
    <row r="30" spans="1:13" x14ac:dyDescent="0.25">
      <c r="A30" s="110"/>
      <c r="B30" s="110"/>
      <c r="C30" s="122"/>
      <c r="D30" s="122"/>
      <c r="E30" s="110"/>
      <c r="F30" s="110"/>
      <c r="G30" s="110"/>
      <c r="H30" s="122"/>
      <c r="I30" s="110"/>
      <c r="J30" s="110"/>
      <c r="K30" s="110"/>
      <c r="L30" s="40"/>
      <c r="M30" s="40"/>
    </row>
    <row r="31" spans="1:13" x14ac:dyDescent="0.25">
      <c r="A31" s="110"/>
      <c r="B31" s="110"/>
      <c r="C31" s="122"/>
      <c r="D31" s="122"/>
      <c r="E31" s="110"/>
      <c r="F31" s="110"/>
      <c r="G31" s="110"/>
      <c r="H31" s="122"/>
      <c r="I31" s="110"/>
      <c r="J31" s="110"/>
      <c r="K31" s="110"/>
      <c r="L31" s="40"/>
      <c r="M31" s="40"/>
    </row>
  </sheetData>
  <mergeCells count="5">
    <mergeCell ref="A4:K4"/>
    <mergeCell ref="A5:K5"/>
    <mergeCell ref="B8:E8"/>
    <mergeCell ref="F8:J8"/>
    <mergeCell ref="G9:I9"/>
  </mergeCells>
  <pageMargins left="0.34" right="0.23" top="1" bottom="0.66" header="0.65" footer="0"/>
  <pageSetup paperSize="9" orientation="landscape" horizontalDpi="1200" verticalDpi="1200" scale="93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99"/>
  <sheetViews>
    <sheetView workbookViewId="0" zoomScale="100" zoomScaleNormal="100"/>
  </sheetViews>
  <sheetFormatPr defaultRowHeight="0" outlineLevelRow="0" outlineLevelCol="0" x14ac:dyDescent="0" customHeight="1"/>
  <cols>
    <col min="1" max="1" width="1.44140625" customWidth="1"/>
    <col min="2" max="2" width="36.6640625" customWidth="1"/>
    <col min="3" max="3" width="15.109375" customWidth="1"/>
    <col min="4" max="4" width="16.33203125" customWidth="1"/>
    <col min="5" max="5" width="17.5546875" customWidth="1"/>
    <col min="6" max="6" width="13.88671875" customWidth="1"/>
    <col min="7" max="7" width="9" hidden="1" customWidth="1"/>
    <col min="8" max="257" width="9.109375" customWidth="1"/>
  </cols>
  <sheetData>
    <row r="1" spans="1:11" x14ac:dyDescent="0.25">
      <c r="A1" s="110"/>
      <c r="B1" s="110" t="s">
        <v>68</v>
      </c>
      <c r="C1" s="110"/>
      <c r="D1" s="110"/>
      <c r="E1" s="110"/>
      <c r="F1" s="110"/>
      <c r="G1" s="40" t="s">
        <v>391</v>
      </c>
      <c r="H1" s="40"/>
      <c r="I1" s="40"/>
      <c r="J1" s="40"/>
      <c r="K1" s="40"/>
    </row>
    <row r="2" spans="1:11" x14ac:dyDescent="0.25">
      <c r="A2" s="110" t="s">
        <v>68</v>
      </c>
      <c r="B2" s="110" t="s">
        <v>68</v>
      </c>
      <c r="C2" s="110"/>
      <c r="D2" s="110"/>
      <c r="E2" s="110"/>
      <c r="F2" s="110"/>
      <c r="G2" s="40"/>
      <c r="H2" s="40"/>
      <c r="I2" s="40"/>
      <c r="J2" s="40"/>
      <c r="K2" s="40"/>
    </row>
    <row r="3" spans="1:11" x14ac:dyDescent="0.25">
      <c r="A3" s="110"/>
      <c r="B3" s="110"/>
      <c r="C3" s="110"/>
      <c r="D3" s="110"/>
      <c r="E3" s="110"/>
      <c r="F3" s="110"/>
      <c r="G3" s="40"/>
      <c r="H3" s="40"/>
      <c r="I3" s="40"/>
      <c r="J3" s="40"/>
      <c r="K3" s="40"/>
    </row>
    <row r="4" spans="1:11" x14ac:dyDescent="0.25">
      <c r="A4" s="110"/>
      <c r="B4" s="110"/>
      <c r="C4" s="110"/>
      <c r="D4" s="110"/>
      <c r="E4" s="110"/>
      <c r="F4" s="110"/>
      <c r="G4" s="40"/>
      <c r="H4" s="40"/>
      <c r="I4" s="40"/>
      <c r="J4" s="40"/>
      <c r="K4" s="40"/>
    </row>
    <row r="5" spans="1:11" x14ac:dyDescent="0.25">
      <c r="A5" s="151" t="s">
        <v>392</v>
      </c>
      <c r="B5" s="110"/>
      <c r="C5" s="110"/>
      <c r="D5" s="110"/>
      <c r="E5" s="110"/>
      <c r="F5" s="110" t="s">
        <v>393</v>
      </c>
      <c r="G5" s="40"/>
      <c r="H5" s="40"/>
      <c r="I5" s="40"/>
      <c r="J5" s="40"/>
      <c r="K5" s="40"/>
    </row>
    <row r="6" spans="1:11" x14ac:dyDescent="0.25">
      <c r="A6" s="110" t="str">
        <f>+Activo!B3</f>
        <v>Al 31  de Julio de 2026 - cifras expresadas en Pesos</v>
      </c>
      <c r="B6" s="110"/>
      <c r="C6" s="110"/>
      <c r="D6" s="111"/>
      <c r="E6" s="110"/>
      <c r="F6" s="110"/>
      <c r="G6" s="40"/>
      <c r="H6" s="40"/>
      <c r="I6" s="40"/>
      <c r="J6" s="40"/>
      <c r="K6" s="40"/>
    </row>
    <row r="7" ht="14.4" customHeight="1" spans="1:11" x14ac:dyDescent="0.25">
      <c r="A7" s="110"/>
      <c r="B7" s="110" t="s">
        <v>68</v>
      </c>
      <c r="C7" s="110"/>
      <c r="D7" s="110"/>
      <c r="E7" s="110"/>
      <c r="F7" s="110"/>
      <c r="G7" s="40"/>
      <c r="H7" s="40"/>
      <c r="I7" s="40"/>
      <c r="J7" s="40"/>
      <c r="K7" s="40"/>
    </row>
    <row r="8" ht="14.4" customHeight="1" spans="1:11" x14ac:dyDescent="0.25">
      <c r="A8" s="152" t="s">
        <v>68</v>
      </c>
      <c r="B8" s="153"/>
      <c r="C8" s="154" t="s">
        <v>394</v>
      </c>
      <c r="D8" s="154" t="s">
        <v>395</v>
      </c>
      <c r="E8" s="154" t="s">
        <v>396</v>
      </c>
      <c r="F8" s="155" t="s">
        <v>395</v>
      </c>
      <c r="G8" s="156" t="s">
        <v>394</v>
      </c>
      <c r="H8" s="40"/>
      <c r="I8" s="40"/>
      <c r="J8" s="40"/>
      <c r="K8" s="40"/>
    </row>
    <row r="9" spans="1:11" x14ac:dyDescent="0.25">
      <c r="A9" s="124" t="s">
        <v>68</v>
      </c>
      <c r="B9" s="157" t="s">
        <v>397</v>
      </c>
      <c r="C9" s="135" t="s">
        <v>398</v>
      </c>
      <c r="D9" s="135" t="s">
        <v>399</v>
      </c>
      <c r="E9" s="135" t="s">
        <v>399</v>
      </c>
      <c r="F9" s="136"/>
      <c r="G9" s="158" t="s">
        <v>398</v>
      </c>
      <c r="H9" s="40"/>
      <c r="I9" s="40"/>
      <c r="J9" s="40"/>
      <c r="K9" s="40"/>
    </row>
    <row r="10" spans="1:11" x14ac:dyDescent="0.25">
      <c r="A10" s="126"/>
      <c r="B10" s="127"/>
      <c r="C10" s="159">
        <f>+EESP!F13</f>
        <v>46234</v>
      </c>
      <c r="D10" s="160" t="s">
        <v>400</v>
      </c>
      <c r="E10" s="160" t="s">
        <v>401</v>
      </c>
      <c r="F10" s="161" t="s">
        <v>402</v>
      </c>
      <c r="G10" s="162" t="s">
        <v>403</v>
      </c>
      <c r="H10" s="40"/>
      <c r="I10" s="40"/>
      <c r="J10" s="40"/>
      <c r="K10" s="40"/>
    </row>
    <row r="11" spans="1:11" x14ac:dyDescent="0.25">
      <c r="A11" s="124"/>
      <c r="B11" s="110" t="s">
        <v>404</v>
      </c>
      <c r="C11" s="163">
        <f>SUM(D11:F11)</f>
        <v>17397088.29</v>
      </c>
      <c r="D11" s="164">
        <f>+SALDOS!C149</f>
        <v>17397088.29</v>
      </c>
      <c r="E11" s="164">
        <v>0</v>
      </c>
      <c r="F11" s="165">
        <v>0</v>
      </c>
      <c r="G11" s="166"/>
      <c r="H11" s="114"/>
      <c r="I11" s="167"/>
      <c r="J11" s="40"/>
      <c r="K11" s="40"/>
    </row>
    <row r="12" hidden="1" spans="1:11" x14ac:dyDescent="0.25">
      <c r="A12" s="124"/>
      <c r="B12" s="110" t="s">
        <v>405</v>
      </c>
      <c r="C12" s="163">
        <f>SUM(D12:F12)</f>
        <v>0</v>
      </c>
      <c r="D12" s="164">
        <v>0</v>
      </c>
      <c r="E12" s="164">
        <f>+SALDOS!C186</f>
        <v>0</v>
      </c>
      <c r="F12" s="168">
        <v>0</v>
      </c>
      <c r="G12" s="166"/>
      <c r="H12" s="114"/>
      <c r="I12" s="167"/>
      <c r="J12" s="40"/>
      <c r="K12" s="40"/>
    </row>
    <row r="13" hidden="1" spans="1:11" x14ac:dyDescent="0.25">
      <c r="A13" s="124"/>
      <c r="B13" s="110" t="s">
        <v>406</v>
      </c>
      <c r="C13" s="163">
        <f>SUM(D13:F13)</f>
        <v>0</v>
      </c>
      <c r="D13" s="164">
        <v>0</v>
      </c>
      <c r="E13" s="164">
        <f>+SALDOS!C156</f>
        <v>0</v>
      </c>
      <c r="F13" s="168">
        <v>0</v>
      </c>
      <c r="G13" s="166"/>
      <c r="H13" s="114"/>
      <c r="I13" s="167"/>
      <c r="J13" s="40"/>
      <c r="K13" s="40"/>
    </row>
    <row r="14" hidden="1" spans="1:11" x14ac:dyDescent="0.25">
      <c r="A14" s="124"/>
      <c r="B14" s="110" t="s">
        <v>407</v>
      </c>
      <c r="C14" s="163">
        <f>SUM(D14:F14)</f>
        <v>0</v>
      </c>
      <c r="D14" s="164">
        <v>0</v>
      </c>
      <c r="E14" s="164">
        <f>+SALDOS!C208</f>
        <v>0</v>
      </c>
      <c r="F14" s="168">
        <v>0</v>
      </c>
      <c r="G14" s="166"/>
      <c r="H14" s="114"/>
      <c r="I14" s="167"/>
      <c r="J14" s="40"/>
      <c r="K14" s="40"/>
    </row>
    <row r="15" hidden="1" spans="1:11" x14ac:dyDescent="0.25">
      <c r="A15" s="124"/>
      <c r="B15" s="110" t="s">
        <v>408</v>
      </c>
      <c r="C15" s="163">
        <f>SUM(D15:F15)</f>
        <v>0</v>
      </c>
      <c r="D15" s="164">
        <v>0</v>
      </c>
      <c r="E15" s="164">
        <f>+SALDOS!C194</f>
        <v>0</v>
      </c>
      <c r="F15" s="168">
        <v>0</v>
      </c>
      <c r="G15" s="166"/>
      <c r="H15" s="114"/>
      <c r="I15" s="167"/>
      <c r="J15" s="40"/>
      <c r="K15" s="40"/>
    </row>
    <row r="16" spans="1:11" x14ac:dyDescent="0.25">
      <c r="A16" s="124"/>
      <c r="B16" s="110" t="s">
        <v>409</v>
      </c>
      <c r="C16" s="163">
        <f>SUM(D16:F16)</f>
        <v>1379539</v>
      </c>
      <c r="D16" s="164">
        <f>+SALDOS!C154+SALDOS!C131</f>
        <v>1379539</v>
      </c>
      <c r="E16" s="164">
        <f>+SALDOS!C191+SALDOS!C193+SALDOS!C150-SALDOS!D150</f>
        <v>0</v>
      </c>
      <c r="F16" s="168">
        <v>0</v>
      </c>
      <c r="G16" s="166"/>
      <c r="H16" s="114"/>
      <c r="I16" s="167"/>
      <c r="J16" s="40"/>
      <c r="K16" s="40"/>
    </row>
    <row r="17" hidden="1" spans="1:11" x14ac:dyDescent="0.25">
      <c r="A17" s="124"/>
      <c r="B17" s="110" t="s">
        <v>410</v>
      </c>
      <c r="C17" s="163">
        <f>SUM(D17:F17)</f>
        <v>0</v>
      </c>
      <c r="D17" s="164">
        <v>0</v>
      </c>
      <c r="E17" s="164">
        <f>+SALDOS!C129</f>
        <v>0</v>
      </c>
      <c r="F17" s="168">
        <v>0</v>
      </c>
      <c r="G17" s="166"/>
      <c r="H17" s="114"/>
      <c r="I17" s="167"/>
      <c r="J17" s="40"/>
      <c r="K17" s="40"/>
    </row>
    <row r="18" hidden="1" spans="1:11" x14ac:dyDescent="0.25">
      <c r="A18" s="124"/>
      <c r="B18" s="110" t="s">
        <v>411</v>
      </c>
      <c r="C18" s="163">
        <f>SUM(D18:F18)</f>
        <v>0</v>
      </c>
      <c r="D18" s="164">
        <f>+SALDOS!C147</f>
        <v>0</v>
      </c>
      <c r="E18" s="164">
        <v>0</v>
      </c>
      <c r="F18" s="168">
        <v>0</v>
      </c>
      <c r="G18" s="166"/>
      <c r="H18" s="114"/>
      <c r="I18" s="167"/>
      <c r="J18" s="40"/>
      <c r="K18" s="40"/>
    </row>
    <row r="19" spans="1:11" x14ac:dyDescent="0.25">
      <c r="A19" s="124"/>
      <c r="B19" s="110" t="s">
        <v>412</v>
      </c>
      <c r="C19" s="163">
        <f>SUM(D19:F19)</f>
        <v>521371.32</v>
      </c>
      <c r="D19" s="164">
        <v>0</v>
      </c>
      <c r="E19" s="164">
        <f>+SALDOS!C127</f>
        <v>521371.32</v>
      </c>
      <c r="F19" s="168">
        <v>0</v>
      </c>
      <c r="G19" s="166"/>
      <c r="H19" s="167"/>
      <c r="I19" s="114"/>
      <c r="J19" s="40"/>
      <c r="K19" s="40"/>
    </row>
    <row r="20" hidden="1" spans="1:11" x14ac:dyDescent="0.25">
      <c r="A20" s="124"/>
      <c r="B20" s="110" t="s">
        <v>413</v>
      </c>
      <c r="C20" s="163">
        <f>SUM(D20:F20)</f>
        <v>0</v>
      </c>
      <c r="D20" s="164">
        <v>0</v>
      </c>
      <c r="E20" s="164">
        <f>+SALDOS!C199</f>
        <v>0</v>
      </c>
      <c r="F20" s="168">
        <v>0</v>
      </c>
      <c r="G20" s="166"/>
      <c r="H20" s="167"/>
      <c r="I20" s="114"/>
      <c r="J20" s="40"/>
      <c r="K20" s="40"/>
    </row>
    <row r="21" spans="1:11" x14ac:dyDescent="0.25">
      <c r="A21" s="124"/>
      <c r="B21" s="110" t="s">
        <v>414</v>
      </c>
      <c r="C21" s="163">
        <f>SUM(D21:F21)</f>
        <v>321043.66000000003</v>
      </c>
      <c r="D21" s="164">
        <v>0</v>
      </c>
      <c r="E21" s="164">
        <f>+SALDOS!C177</f>
        <v>321043.66000000003</v>
      </c>
      <c r="F21" s="168">
        <v>0</v>
      </c>
      <c r="G21" s="166"/>
      <c r="H21" s="167"/>
      <c r="I21" s="114"/>
      <c r="J21" s="40"/>
      <c r="K21" s="40"/>
    </row>
    <row r="22" hidden="1" spans="1:11" x14ac:dyDescent="0.25">
      <c r="A22" s="124"/>
      <c r="B22" s="110" t="s">
        <v>415</v>
      </c>
      <c r="C22" s="163">
        <f>SUM(D22:F22)</f>
        <v>0</v>
      </c>
      <c r="D22" s="164">
        <v>0</v>
      </c>
      <c r="E22" s="164">
        <f>+SALDOS!C143</f>
        <v>0</v>
      </c>
      <c r="F22" s="168">
        <v>0</v>
      </c>
      <c r="G22" s="166"/>
      <c r="H22" s="167"/>
      <c r="I22" s="114"/>
      <c r="J22" s="40"/>
      <c r="K22" s="40"/>
    </row>
    <row r="23" hidden="1" spans="1:11" x14ac:dyDescent="0.25">
      <c r="A23" s="124"/>
      <c r="B23" s="110" t="s">
        <v>416</v>
      </c>
      <c r="C23" s="163">
        <f>SUM(D23:F23)</f>
        <v>0</v>
      </c>
      <c r="D23" s="164">
        <f>+SALDOS!C207</f>
        <v>0</v>
      </c>
      <c r="E23" s="164">
        <v>0</v>
      </c>
      <c r="F23" s="168">
        <v>0</v>
      </c>
      <c r="G23" s="166"/>
      <c r="H23" s="167"/>
      <c r="I23" s="114"/>
      <c r="J23" s="40"/>
      <c r="K23" s="40"/>
    </row>
    <row r="24" spans="1:11" x14ac:dyDescent="0.25">
      <c r="A24" s="124"/>
      <c r="B24" s="110" t="s">
        <v>417</v>
      </c>
      <c r="C24" s="163">
        <f>SUM(D24:F24)</f>
        <v>5082689.600000001</v>
      </c>
      <c r="D24" s="164">
        <v>0</v>
      </c>
      <c r="E24" s="164">
        <f>+SALDOS!C171</f>
        <v>5082689.600000001</v>
      </c>
      <c r="F24" s="168">
        <v>0</v>
      </c>
      <c r="G24" s="166"/>
      <c r="H24" s="167"/>
      <c r="I24" s="114"/>
      <c r="J24" s="40"/>
      <c r="K24" s="40"/>
    </row>
    <row r="25" spans="1:11" x14ac:dyDescent="0.25">
      <c r="A25" s="124"/>
      <c r="B25" s="110" t="s">
        <v>418</v>
      </c>
      <c r="C25" s="163">
        <f>SUM(D25:F25)</f>
        <v>-957215.29</v>
      </c>
      <c r="D25" s="164">
        <v>0</v>
      </c>
      <c r="E25" s="164">
        <f>+SALDOS!C165-SALDOS!D165</f>
        <v>-957215.29</v>
      </c>
      <c r="F25" s="168">
        <v>0</v>
      </c>
      <c r="G25" s="166"/>
      <c r="H25" s="167"/>
      <c r="I25" s="114"/>
      <c r="J25" s="40"/>
      <c r="K25" s="40"/>
    </row>
    <row r="26" hidden="1" spans="1:11" x14ac:dyDescent="0.25">
      <c r="A26" s="124"/>
      <c r="B26" s="110" t="s">
        <v>419</v>
      </c>
      <c r="C26" s="163">
        <f>SUM(D26:F26)</f>
        <v>0</v>
      </c>
      <c r="D26" s="164">
        <f>+SALDOS!C167</f>
        <v>0</v>
      </c>
      <c r="E26" s="164">
        <v>0</v>
      </c>
      <c r="F26" s="168">
        <v>0</v>
      </c>
      <c r="G26" s="166"/>
      <c r="H26" s="167"/>
      <c r="I26" s="114"/>
      <c r="J26" s="40"/>
      <c r="K26" s="40"/>
    </row>
    <row r="27" hidden="1" spans="1:11" x14ac:dyDescent="0.25">
      <c r="A27" s="124"/>
      <c r="B27" s="110" t="s">
        <v>420</v>
      </c>
      <c r="C27" s="163">
        <f>SUM(D27:F27)</f>
        <v>0</v>
      </c>
      <c r="D27" s="164">
        <f>+SALDOS!C141</f>
        <v>0</v>
      </c>
      <c r="E27" s="164">
        <v>0</v>
      </c>
      <c r="F27" s="168">
        <v>0</v>
      </c>
      <c r="G27" s="166"/>
      <c r="H27" s="167"/>
      <c r="I27" s="114"/>
      <c r="J27" s="40"/>
      <c r="K27" s="40"/>
    </row>
    <row r="28" spans="1:11" x14ac:dyDescent="0.25">
      <c r="A28" s="124"/>
      <c r="B28" s="110" t="s">
        <v>421</v>
      </c>
      <c r="C28" s="163">
        <f>SUM(D28:F28)</f>
        <v>80711</v>
      </c>
      <c r="D28" s="164">
        <v>0</v>
      </c>
      <c r="E28" s="164">
        <f>+SALDOS!C203</f>
        <v>80711</v>
      </c>
      <c r="F28" s="168">
        <v>0</v>
      </c>
      <c r="G28" s="166"/>
      <c r="H28" s="167"/>
      <c r="I28" s="114"/>
      <c r="J28" s="40"/>
      <c r="K28" s="40"/>
    </row>
    <row r="29" spans="1:11" x14ac:dyDescent="0.25">
      <c r="A29" s="124"/>
      <c r="B29" s="110" t="s">
        <v>422</v>
      </c>
      <c r="C29" s="163">
        <f>SUM(D29:F29)</f>
        <v>110838611.65</v>
      </c>
      <c r="D29" s="164">
        <v>0</v>
      </c>
      <c r="E29" s="164">
        <f>+SALDOS!C168</f>
        <v>110838611.65</v>
      </c>
      <c r="F29" s="168">
        <v>0</v>
      </c>
      <c r="G29" s="166"/>
      <c r="H29" s="167"/>
      <c r="I29" s="114"/>
      <c r="J29" s="40"/>
      <c r="K29" s="40"/>
    </row>
    <row r="30" spans="1:11" x14ac:dyDescent="0.25">
      <c r="A30" s="124"/>
      <c r="B30" s="110" t="s">
        <v>423</v>
      </c>
      <c r="C30" s="163">
        <f>SUM(D30:F30)</f>
        <v>2400000</v>
      </c>
      <c r="D30" s="164">
        <f>+SALDOS!C189</f>
        <v>2400000</v>
      </c>
      <c r="E30" s="164">
        <v>0</v>
      </c>
      <c r="F30" s="168">
        <v>0</v>
      </c>
      <c r="G30" s="166"/>
      <c r="H30" s="167"/>
      <c r="I30" s="114"/>
      <c r="J30" s="40"/>
      <c r="K30" s="40"/>
    </row>
    <row r="31" hidden="1" spans="1:11" x14ac:dyDescent="0.25">
      <c r="A31" s="124"/>
      <c r="B31" s="110" t="s">
        <v>424</v>
      </c>
      <c r="C31" s="163">
        <f>SUM(D31:F31)</f>
        <v>0</v>
      </c>
      <c r="D31" s="164">
        <f>+SALDOS!C138</f>
        <v>0</v>
      </c>
      <c r="E31" s="164">
        <v>0</v>
      </c>
      <c r="F31" s="168">
        <v>0</v>
      </c>
      <c r="G31" s="166"/>
      <c r="H31" s="167"/>
      <c r="I31" s="114"/>
      <c r="J31" s="40"/>
      <c r="K31" s="40"/>
    </row>
    <row r="32" hidden="1" spans="1:11" x14ac:dyDescent="0.25">
      <c r="A32" s="124"/>
      <c r="B32" s="110" t="s">
        <v>425</v>
      </c>
      <c r="C32" s="163">
        <f>SUM(D32:F32)</f>
        <v>0</v>
      </c>
      <c r="D32" s="164">
        <v>0</v>
      </c>
      <c r="E32" s="164">
        <f>+SALDOS!C190</f>
        <v>0</v>
      </c>
      <c r="F32" s="168">
        <v>0</v>
      </c>
      <c r="G32" s="166"/>
      <c r="H32" s="167"/>
      <c r="I32" s="114"/>
      <c r="J32" s="40"/>
      <c r="K32" s="40"/>
    </row>
    <row r="33" spans="1:11" x14ac:dyDescent="0.25">
      <c r="A33" s="124"/>
      <c r="B33" s="110" t="s">
        <v>426</v>
      </c>
      <c r="C33" s="163">
        <f>SUM(D33:F33)</f>
        <v>821541.29</v>
      </c>
      <c r="D33" s="164">
        <v>0</v>
      </c>
      <c r="E33" s="164">
        <f>+SALDOS!C174+SALDOS!C175</f>
        <v>821541.29</v>
      </c>
      <c r="F33" s="168">
        <v>0</v>
      </c>
      <c r="G33" s="166"/>
      <c r="H33" s="167"/>
      <c r="I33" s="114"/>
      <c r="J33" s="40"/>
      <c r="K33" s="40"/>
    </row>
    <row r="34" hidden="1" spans="1:11" x14ac:dyDescent="0.25">
      <c r="A34" s="124"/>
      <c r="B34" s="110" t="s">
        <v>427</v>
      </c>
      <c r="C34" s="163">
        <f>SUM(D34:F34)</f>
        <v>0</v>
      </c>
      <c r="D34" s="164">
        <v>0</v>
      </c>
      <c r="E34" s="164">
        <v>0</v>
      </c>
      <c r="F34" s="168">
        <v>0</v>
      </c>
      <c r="G34" s="166"/>
      <c r="H34" s="167"/>
      <c r="I34" s="114"/>
      <c r="J34" s="40"/>
      <c r="K34" s="40"/>
    </row>
    <row r="35" hidden="1" spans="1:11" x14ac:dyDescent="0.25">
      <c r="A35" s="124"/>
      <c r="B35" s="110" t="s">
        <v>428</v>
      </c>
      <c r="C35" s="163">
        <f>SUM(D35:F35)</f>
        <v>0</v>
      </c>
      <c r="D35" s="164">
        <v>0</v>
      </c>
      <c r="E35" s="164">
        <f>+SALDOS!C181</f>
        <v>0</v>
      </c>
      <c r="F35" s="168">
        <v>0</v>
      </c>
      <c r="G35" s="166"/>
      <c r="H35" s="167"/>
      <c r="I35" s="114"/>
      <c r="J35" s="40"/>
      <c r="K35" s="40"/>
    </row>
    <row r="36" spans="1:11" x14ac:dyDescent="0.25">
      <c r="A36" s="124"/>
      <c r="B36" s="110" t="s">
        <v>429</v>
      </c>
      <c r="C36" s="163">
        <f>SUM(D36:F36)</f>
        <v>624483.29</v>
      </c>
      <c r="D36" s="164">
        <v>0</v>
      </c>
      <c r="E36" s="164">
        <f>+SALDOS!C185</f>
        <v>624483.29</v>
      </c>
      <c r="F36" s="168">
        <v>0</v>
      </c>
      <c r="G36" s="166"/>
      <c r="H36" s="167"/>
      <c r="I36" s="114"/>
      <c r="J36" s="40"/>
      <c r="K36" s="40"/>
    </row>
    <row r="37" spans="1:11" x14ac:dyDescent="0.25">
      <c r="A37" s="124"/>
      <c r="B37" s="110" t="s">
        <v>430</v>
      </c>
      <c r="C37" s="163">
        <f>SUM(D37:F37)</f>
        <v>219472.57</v>
      </c>
      <c r="D37" s="164">
        <v>0</v>
      </c>
      <c r="E37" s="164">
        <f>+SALDOS!C184</f>
        <v>219472.57</v>
      </c>
      <c r="F37" s="168">
        <v>0</v>
      </c>
      <c r="G37" s="166"/>
      <c r="H37" s="167"/>
      <c r="I37" s="114"/>
      <c r="J37" s="40"/>
      <c r="K37" s="40"/>
    </row>
    <row r="38" hidden="1" spans="1:11" x14ac:dyDescent="0.25">
      <c r="A38" s="124"/>
      <c r="B38" s="110" t="s">
        <v>431</v>
      </c>
      <c r="C38" s="163">
        <f>SUM(D38:F38)</f>
        <v>0</v>
      </c>
      <c r="D38" s="164">
        <f>+SALDOS!C130</f>
        <v>0</v>
      </c>
      <c r="E38" s="164">
        <v>0</v>
      </c>
      <c r="F38" s="168">
        <v>0</v>
      </c>
      <c r="G38" s="166"/>
      <c r="H38" s="167"/>
      <c r="I38" s="114"/>
      <c r="J38" s="40"/>
      <c r="K38" s="40"/>
    </row>
    <row r="39" hidden="1" spans="1:11" x14ac:dyDescent="0.25">
      <c r="A39" s="124"/>
      <c r="B39" s="110" t="s">
        <v>432</v>
      </c>
      <c r="C39" s="163">
        <f>SUM(D39:F39)</f>
        <v>0</v>
      </c>
      <c r="D39" s="164">
        <v>0</v>
      </c>
      <c r="E39" s="164">
        <f>+SALDOS!C205+SALDOS!C206</f>
        <v>0</v>
      </c>
      <c r="F39" s="168">
        <v>0</v>
      </c>
      <c r="G39" s="166"/>
      <c r="H39" s="167"/>
      <c r="I39" s="114"/>
      <c r="J39" s="40"/>
      <c r="K39" s="40"/>
    </row>
    <row r="40" spans="1:11" x14ac:dyDescent="0.25">
      <c r="A40" s="124"/>
      <c r="B40" s="110" t="s">
        <v>433</v>
      </c>
      <c r="C40" s="163">
        <f>SUM(D40:F40)</f>
        <v>383019.22000000003</v>
      </c>
      <c r="D40" s="164">
        <v>0</v>
      </c>
      <c r="E40" s="164">
        <f>+SALDOS!C146+SALDOS!C135+SALDOS!C148</f>
        <v>383019.22000000003</v>
      </c>
      <c r="F40" s="168">
        <v>0</v>
      </c>
      <c r="G40" s="166"/>
      <c r="H40" s="167"/>
      <c r="I40" s="114"/>
      <c r="J40" s="40"/>
      <c r="K40" s="40"/>
    </row>
    <row r="41" hidden="1" spans="1:11" x14ac:dyDescent="0.25">
      <c r="A41" s="124"/>
      <c r="B41" s="110" t="s">
        <v>434</v>
      </c>
      <c r="C41" s="163">
        <f>SUM(D41:F41)</f>
        <v>0</v>
      </c>
      <c r="D41" s="164">
        <v>0</v>
      </c>
      <c r="E41" s="164">
        <v>0</v>
      </c>
      <c r="F41" s="168">
        <f>+SALDOS!C222</f>
        <v>0</v>
      </c>
      <c r="G41" s="166"/>
      <c r="H41" s="167"/>
      <c r="I41" s="114"/>
      <c r="J41" s="40"/>
      <c r="K41" s="40"/>
    </row>
    <row r="42" hidden="1" spans="1:11" x14ac:dyDescent="0.25">
      <c r="A42" s="124"/>
      <c r="B42" s="110" t="s">
        <v>435</v>
      </c>
      <c r="C42" s="163">
        <f>SUM(D42:F42)</f>
        <v>0</v>
      </c>
      <c r="D42" s="164">
        <f>SALDOS!C134</f>
        <v>0</v>
      </c>
      <c r="E42" s="164">
        <v>0</v>
      </c>
      <c r="F42" s="164">
        <v>0</v>
      </c>
      <c r="G42" s="166"/>
      <c r="H42" s="167"/>
      <c r="I42" s="114"/>
      <c r="J42" s="40"/>
      <c r="K42" s="40"/>
    </row>
    <row r="43" hidden="1" spans="1:11" x14ac:dyDescent="0.25">
      <c r="A43" s="124"/>
      <c r="B43" s="110" t="s">
        <v>436</v>
      </c>
      <c r="C43" s="163">
        <f>SUM(D43:F43)</f>
        <v>0</v>
      </c>
      <c r="D43" s="164">
        <f>+SALDOS!C161</f>
        <v>0</v>
      </c>
      <c r="E43" s="164">
        <v>0</v>
      </c>
      <c r="F43" s="168">
        <v>0</v>
      </c>
      <c r="G43" s="166"/>
      <c r="H43" s="167"/>
      <c r="I43" s="169"/>
      <c r="J43" s="40"/>
      <c r="K43" s="40"/>
    </row>
    <row r="44" spans="1:11" x14ac:dyDescent="0.25">
      <c r="A44" s="124"/>
      <c r="B44" s="110" t="s">
        <v>437</v>
      </c>
      <c r="C44" s="163">
        <f>SUM(D44:F44)</f>
        <v>8580298.42</v>
      </c>
      <c r="D44" s="164">
        <f>+SALDOS!C162</f>
        <v>8580298.42</v>
      </c>
      <c r="E44" s="164">
        <v>0</v>
      </c>
      <c r="F44" s="168">
        <v>0</v>
      </c>
      <c r="G44" s="166"/>
      <c r="H44" s="167"/>
      <c r="I44" s="169"/>
      <c r="J44" s="40"/>
      <c r="K44" s="40"/>
    </row>
    <row r="45" hidden="1" spans="1:11" x14ac:dyDescent="0.25">
      <c r="A45" s="124"/>
      <c r="B45" s="110" t="s">
        <v>438</v>
      </c>
      <c r="C45" s="163">
        <f>SUM(D45:F45)</f>
        <v>0</v>
      </c>
      <c r="D45" s="164">
        <f>+SALDOS!C133</f>
        <v>0</v>
      </c>
      <c r="E45" s="164">
        <v>0</v>
      </c>
      <c r="F45" s="168">
        <v>0</v>
      </c>
      <c r="G45" s="166"/>
      <c r="H45" s="167"/>
      <c r="I45" s="169"/>
      <c r="J45" s="40"/>
      <c r="K45" s="40"/>
    </row>
    <row r="46" hidden="1" spans="1:11" x14ac:dyDescent="0.25">
      <c r="A46" s="124"/>
      <c r="B46" s="110" t="s">
        <v>439</v>
      </c>
      <c r="C46" s="163">
        <f>SUM(D46:F46)</f>
        <v>0</v>
      </c>
      <c r="D46" s="164">
        <f>+SALDOS!C176</f>
        <v>0</v>
      </c>
      <c r="E46" s="164">
        <v>0</v>
      </c>
      <c r="F46" s="168">
        <v>0</v>
      </c>
      <c r="G46" s="166"/>
      <c r="H46" s="167"/>
      <c r="I46" s="169"/>
      <c r="J46" s="40"/>
      <c r="K46" s="40"/>
    </row>
    <row r="47" spans="1:11" x14ac:dyDescent="0.25">
      <c r="A47" s="124"/>
      <c r="B47" s="110" t="s">
        <v>440</v>
      </c>
      <c r="C47" s="163">
        <f>SUM(D47:F47)</f>
        <v>197769378.93</v>
      </c>
      <c r="D47" s="164">
        <v>0</v>
      </c>
      <c r="E47" s="164">
        <f>+SALDOS!C125</f>
        <v>197769378.93</v>
      </c>
      <c r="F47" s="168">
        <v>0</v>
      </c>
      <c r="G47" s="166"/>
      <c r="H47" s="167"/>
      <c r="I47" s="114"/>
      <c r="J47" s="40"/>
      <c r="K47" s="40"/>
    </row>
    <row r="48" hidden="1" spans="1:11" x14ac:dyDescent="0.25">
      <c r="A48" s="124"/>
      <c r="B48" s="110" t="s">
        <v>441</v>
      </c>
      <c r="C48" s="163">
        <f>SUM(D48:F48)</f>
        <v>0</v>
      </c>
      <c r="D48" s="164">
        <v>0</v>
      </c>
      <c r="E48" s="164">
        <f>-SALDOS!D157</f>
        <v>0</v>
      </c>
      <c r="F48" s="168">
        <v>0</v>
      </c>
      <c r="G48" s="166"/>
      <c r="H48" s="167"/>
      <c r="I48" s="114"/>
      <c r="J48" s="40"/>
      <c r="K48" s="40"/>
    </row>
    <row r="49" hidden="1" spans="1:11" x14ac:dyDescent="0.25">
      <c r="A49" s="124"/>
      <c r="B49" s="110" t="s">
        <v>442</v>
      </c>
      <c r="C49" s="163">
        <f>SUM(D49:F49)</f>
        <v>0</v>
      </c>
      <c r="D49" s="164">
        <f>+SALDOS!C139</f>
        <v>0</v>
      </c>
      <c r="E49" s="164">
        <v>0</v>
      </c>
      <c r="F49" s="168">
        <v>0</v>
      </c>
      <c r="G49" s="166"/>
      <c r="H49" s="167"/>
      <c r="I49" s="114"/>
      <c r="J49" s="40"/>
      <c r="K49" s="40"/>
    </row>
    <row r="50" spans="1:11" x14ac:dyDescent="0.25">
      <c r="A50" s="124"/>
      <c r="B50" s="110" t="s">
        <v>443</v>
      </c>
      <c r="C50" s="163">
        <f>SUM(D50:F50)</f>
        <v>1887708</v>
      </c>
      <c r="D50" s="164">
        <f>+SALDOS!C160</f>
        <v>1887708</v>
      </c>
      <c r="E50" s="164">
        <v>0</v>
      </c>
      <c r="F50" s="168">
        <v>0</v>
      </c>
      <c r="G50" s="166"/>
      <c r="H50" s="167"/>
      <c r="I50" s="114"/>
      <c r="J50" s="40"/>
      <c r="K50" s="40"/>
    </row>
    <row r="51" hidden="1" spans="1:11" x14ac:dyDescent="0.25">
      <c r="A51" s="124"/>
      <c r="B51" s="110" t="s">
        <v>444</v>
      </c>
      <c r="C51" s="163">
        <f>SUM(D51:F51)</f>
        <v>0</v>
      </c>
      <c r="D51" s="164">
        <v>0</v>
      </c>
      <c r="E51" s="164">
        <v>0</v>
      </c>
      <c r="F51" s="168">
        <v>0</v>
      </c>
      <c r="G51" s="166"/>
      <c r="H51" s="167"/>
      <c r="I51" s="114"/>
      <c r="J51" s="40"/>
      <c r="K51" s="40"/>
    </row>
    <row r="52" hidden="1" spans="1:11" x14ac:dyDescent="0.25">
      <c r="A52" s="124"/>
      <c r="B52" s="110" t="s">
        <v>445</v>
      </c>
      <c r="C52" s="163">
        <f>SUM(D52:F52)</f>
        <v>0</v>
      </c>
      <c r="D52" s="164">
        <v>0</v>
      </c>
      <c r="E52" s="164">
        <v>0</v>
      </c>
      <c r="F52" s="168">
        <f>+SALDOS!C216</f>
        <v>0</v>
      </c>
      <c r="G52" s="166"/>
      <c r="H52" s="167"/>
      <c r="I52" s="114"/>
      <c r="J52" s="40"/>
      <c r="K52" s="40"/>
    </row>
    <row r="53" spans="1:11" x14ac:dyDescent="0.25">
      <c r="A53" s="124"/>
      <c r="B53" s="110" t="s">
        <v>446</v>
      </c>
      <c r="C53" s="163">
        <f>SUM(D53:F53)</f>
        <v>661934.13</v>
      </c>
      <c r="D53" s="164">
        <f>+SALDOS!C196</f>
        <v>661934.13</v>
      </c>
      <c r="E53" s="164">
        <f>+SALDOS!C195</f>
        <v>0</v>
      </c>
      <c r="F53" s="168">
        <v>0</v>
      </c>
      <c r="G53" s="166"/>
      <c r="H53" s="167"/>
      <c r="I53" s="114"/>
      <c r="J53" s="40"/>
      <c r="K53" s="40"/>
    </row>
    <row r="54" hidden="1" spans="1:11" x14ac:dyDescent="0.25">
      <c r="A54" s="124"/>
      <c r="B54" s="110" t="s">
        <v>447</v>
      </c>
      <c r="C54" s="163">
        <f>SUM(D54:F54)</f>
        <v>0</v>
      </c>
      <c r="D54" s="164">
        <v>0</v>
      </c>
      <c r="E54" s="164">
        <v>0</v>
      </c>
      <c r="F54" s="168">
        <f>+SALDOS!C212</f>
        <v>0</v>
      </c>
      <c r="G54" s="166"/>
      <c r="H54" s="167"/>
      <c r="I54" s="114"/>
      <c r="J54" s="40"/>
      <c r="K54" s="40"/>
    </row>
    <row r="55" spans="1:11" x14ac:dyDescent="0.25">
      <c r="A55" s="124"/>
      <c r="B55" s="110" t="s">
        <v>448</v>
      </c>
      <c r="C55" s="163">
        <f>SUM(D55:F55)</f>
        <v>8329025.390000001</v>
      </c>
      <c r="D55" s="164">
        <v>0</v>
      </c>
      <c r="E55" s="164">
        <v>0</v>
      </c>
      <c r="F55" s="168">
        <f>+SALDOS!C210</f>
        <v>8329025.390000001</v>
      </c>
      <c r="G55" s="166"/>
      <c r="H55" s="167"/>
      <c r="I55" s="114"/>
      <c r="J55" s="40"/>
      <c r="K55" s="40"/>
    </row>
    <row r="56" hidden="1" spans="1:11" x14ac:dyDescent="0.25">
      <c r="A56" s="124"/>
      <c r="B56" s="110" t="s">
        <v>449</v>
      </c>
      <c r="C56" s="163">
        <f>SUM(D56:F56)</f>
        <v>0</v>
      </c>
      <c r="D56" s="164">
        <v>0</v>
      </c>
      <c r="E56" s="164">
        <v>0</v>
      </c>
      <c r="F56" s="168">
        <f>+SALDOS!C217</f>
        <v>0</v>
      </c>
      <c r="G56" s="166"/>
      <c r="H56" s="167"/>
      <c r="I56" s="114"/>
      <c r="J56" s="40"/>
      <c r="K56" s="40"/>
    </row>
    <row r="57" spans="1:11" x14ac:dyDescent="0.25">
      <c r="A57" s="124"/>
      <c r="B57" s="110" t="s">
        <v>450</v>
      </c>
      <c r="C57" s="163">
        <f>SUM(D57:F57)</f>
        <v>18860.69</v>
      </c>
      <c r="D57" s="164">
        <f>+SALDOS!C214</f>
        <v>18860.69</v>
      </c>
      <c r="E57" s="164">
        <f>+SALDOS!C213</f>
        <v>0</v>
      </c>
      <c r="F57" s="168">
        <v>0</v>
      </c>
      <c r="G57" s="166"/>
      <c r="H57" s="167"/>
      <c r="I57" s="114"/>
      <c r="J57" s="40"/>
      <c r="K57" s="40"/>
    </row>
    <row r="58" spans="1:11" x14ac:dyDescent="0.25">
      <c r="A58" s="124"/>
      <c r="B58" s="110" t="s">
        <v>451</v>
      </c>
      <c r="C58" s="163">
        <f>SUM(D58:F58)</f>
        <v>880675.8</v>
      </c>
      <c r="D58" s="164">
        <v>0</v>
      </c>
      <c r="E58" s="164">
        <f>+SALDOS!C200</f>
        <v>880675.8</v>
      </c>
      <c r="F58" s="168">
        <v>0</v>
      </c>
      <c r="G58" s="166"/>
      <c r="H58" s="167"/>
      <c r="I58" s="114"/>
      <c r="J58" s="40"/>
      <c r="K58" s="40"/>
    </row>
    <row r="59" spans="1:11" x14ac:dyDescent="0.25">
      <c r="A59" s="124"/>
      <c r="B59" s="110" t="s">
        <v>452</v>
      </c>
      <c r="C59" s="163">
        <f>SUM(D59:F59)</f>
        <v>33850774.18</v>
      </c>
      <c r="D59" s="164">
        <f>+SALDOS!C126</f>
        <v>33850774.18</v>
      </c>
      <c r="E59" s="164">
        <v>0</v>
      </c>
      <c r="F59" s="168">
        <v>0</v>
      </c>
      <c r="G59" s="166"/>
      <c r="H59" s="167"/>
      <c r="I59" s="114"/>
      <c r="J59" s="40"/>
      <c r="K59" s="40"/>
    </row>
    <row r="60" hidden="1" spans="1:11" x14ac:dyDescent="0.25">
      <c r="A60" s="124"/>
      <c r="B60" s="110" t="s">
        <v>453</v>
      </c>
      <c r="C60" s="163">
        <f>SUM(D60:F60)</f>
        <v>0</v>
      </c>
      <c r="D60" s="164">
        <v>0</v>
      </c>
      <c r="E60" s="164">
        <f>+SALDOS!C215</f>
        <v>0</v>
      </c>
      <c r="F60" s="168">
        <v>0</v>
      </c>
      <c r="G60" s="166"/>
      <c r="H60" s="167"/>
      <c r="I60" s="114"/>
      <c r="J60" s="40"/>
      <c r="K60" s="40"/>
    </row>
    <row r="61" hidden="1" spans="1:11" x14ac:dyDescent="0.25">
      <c r="A61" s="124"/>
      <c r="B61" s="110" t="s">
        <v>454</v>
      </c>
      <c r="C61" s="163">
        <f>SUM(D61:F61)</f>
        <v>0</v>
      </c>
      <c r="D61" s="164">
        <v>0</v>
      </c>
      <c r="E61" s="164">
        <f>+SALDOS!C145</f>
        <v>0</v>
      </c>
      <c r="F61" s="168">
        <v>0</v>
      </c>
      <c r="G61" s="166"/>
      <c r="H61" s="167"/>
      <c r="I61" s="114"/>
      <c r="J61" s="40"/>
      <c r="K61" s="40"/>
    </row>
    <row r="62" hidden="1" spans="1:11" x14ac:dyDescent="0.25">
      <c r="A62" s="124"/>
      <c r="B62" s="110" t="s">
        <v>455</v>
      </c>
      <c r="C62" s="163">
        <f>SUM(D62:F62)</f>
        <v>0</v>
      </c>
      <c r="D62" s="164">
        <v>0</v>
      </c>
      <c r="E62" s="164">
        <v>0</v>
      </c>
      <c r="F62" s="168">
        <v>0</v>
      </c>
      <c r="G62" s="166"/>
      <c r="H62" s="167"/>
      <c r="I62" s="114"/>
      <c r="J62" s="40"/>
      <c r="K62" s="40"/>
    </row>
    <row r="63" spans="1:11" x14ac:dyDescent="0.25">
      <c r="A63" s="124"/>
      <c r="B63" s="110" t="s">
        <v>456</v>
      </c>
      <c r="C63" s="163">
        <f>SUM(D63:F63)</f>
        <v>61269167.47</v>
      </c>
      <c r="D63" s="164">
        <v>0</v>
      </c>
      <c r="E63" s="164">
        <f>+SALDOS!C128+SALDOS!C153</f>
        <v>61269167.47</v>
      </c>
      <c r="F63" s="168">
        <v>0</v>
      </c>
      <c r="G63" s="166"/>
      <c r="H63" s="167"/>
      <c r="I63" s="114"/>
      <c r="J63" s="40"/>
      <c r="K63" s="40"/>
    </row>
    <row r="64" hidden="1" spans="1:11" x14ac:dyDescent="0.25">
      <c r="A64" s="124"/>
      <c r="B64" s="110" t="s">
        <v>457</v>
      </c>
      <c r="C64" s="163">
        <f>SUM(D64:F64)</f>
        <v>0</v>
      </c>
      <c r="D64" s="164">
        <v>0</v>
      </c>
      <c r="E64" s="164">
        <f>+SALDOS!C172+SALDOS!C169+SALDOS!C180</f>
        <v>0</v>
      </c>
      <c r="F64" s="168">
        <v>0</v>
      </c>
      <c r="G64" s="166"/>
      <c r="H64" s="167"/>
      <c r="I64" s="114"/>
      <c r="J64" s="40"/>
      <c r="K64" s="40"/>
    </row>
    <row r="65" hidden="1" spans="1:11" x14ac:dyDescent="0.25">
      <c r="A65" s="124"/>
      <c r="B65" s="110" t="s">
        <v>458</v>
      </c>
      <c r="C65" s="163">
        <f>SUM(D65:F65)</f>
        <v>0</v>
      </c>
      <c r="D65" s="164">
        <f>+SALDOS!C173</f>
        <v>0</v>
      </c>
      <c r="E65" s="164">
        <v>0</v>
      </c>
      <c r="F65" s="168">
        <v>0</v>
      </c>
      <c r="G65" s="166"/>
      <c r="H65" s="167"/>
      <c r="I65" s="114"/>
      <c r="J65" s="40"/>
      <c r="K65" s="40"/>
    </row>
    <row r="66" spans="1:11" x14ac:dyDescent="0.25">
      <c r="A66" s="124"/>
      <c r="B66" s="110" t="s">
        <v>459</v>
      </c>
      <c r="C66" s="163">
        <f>SUM(D66:F66)</f>
        <v>1228669.4000000001</v>
      </c>
      <c r="D66" s="164">
        <v>0</v>
      </c>
      <c r="E66" s="164">
        <f>+SALDOS!C123+SALDOS!C151</f>
        <v>1228669.4000000001</v>
      </c>
      <c r="F66" s="168">
        <v>0</v>
      </c>
      <c r="G66" s="166"/>
      <c r="H66" s="167"/>
      <c r="I66" s="114"/>
      <c r="J66" s="40"/>
      <c r="K66" s="40"/>
    </row>
    <row r="67" spans="1:11" x14ac:dyDescent="0.25">
      <c r="A67" s="124"/>
      <c r="B67" s="110" t="s">
        <v>460</v>
      </c>
      <c r="C67" s="163">
        <f>SUM(D67:F67)</f>
        <v>873100</v>
      </c>
      <c r="D67" s="164">
        <v>0</v>
      </c>
      <c r="E67" s="164">
        <f>+SALDOS!C183</f>
        <v>873100</v>
      </c>
      <c r="F67" s="168">
        <v>0</v>
      </c>
      <c r="G67" s="166"/>
      <c r="H67" s="167"/>
      <c r="I67" s="114"/>
      <c r="J67" s="40"/>
      <c r="K67" s="40"/>
    </row>
    <row r="68" hidden="1" spans="1:11" x14ac:dyDescent="0.25">
      <c r="A68" s="124"/>
      <c r="B68" s="110" t="s">
        <v>461</v>
      </c>
      <c r="C68" s="163">
        <f>SUM(D68:F68)</f>
        <v>0</v>
      </c>
      <c r="D68" s="164">
        <v>0</v>
      </c>
      <c r="E68" s="164">
        <f>+SALDOS!C197</f>
        <v>0</v>
      </c>
      <c r="F68" s="168">
        <v>0</v>
      </c>
      <c r="G68" s="166"/>
      <c r="H68" s="167"/>
      <c r="I68" s="114"/>
      <c r="J68" s="40"/>
      <c r="K68" s="40"/>
    </row>
    <row r="69" hidden="1" spans="1:11" x14ac:dyDescent="0.25">
      <c r="A69" s="124"/>
      <c r="B69" s="110" t="s">
        <v>462</v>
      </c>
      <c r="C69" s="163">
        <f>SUM(D69:F69)</f>
        <v>0</v>
      </c>
      <c r="D69" s="164">
        <v>0</v>
      </c>
      <c r="E69" s="164">
        <v>0</v>
      </c>
      <c r="F69" s="168">
        <v>0</v>
      </c>
      <c r="G69" s="166"/>
      <c r="H69" s="167"/>
      <c r="I69" s="114"/>
      <c r="J69" s="40"/>
      <c r="K69" s="40"/>
    </row>
    <row r="70" hidden="1" spans="1:11" x14ac:dyDescent="0.25">
      <c r="A70" s="124"/>
      <c r="B70" s="110" t="s">
        <v>463</v>
      </c>
      <c r="C70" s="163">
        <f>SUM(D70:F70)</f>
        <v>0</v>
      </c>
      <c r="D70" s="164">
        <v>0</v>
      </c>
      <c r="E70" s="164">
        <f>-SALDOS!D131</f>
        <v>0</v>
      </c>
      <c r="F70" s="168">
        <v>0</v>
      </c>
      <c r="G70" s="166"/>
      <c r="H70" s="167"/>
      <c r="I70" s="114"/>
      <c r="J70" s="40"/>
      <c r="K70" s="40"/>
    </row>
    <row r="71" spans="1:11" x14ac:dyDescent="0.25">
      <c r="A71" s="124"/>
      <c r="B71" s="110" t="s">
        <v>464</v>
      </c>
      <c r="C71" s="163">
        <f>SUM(D71:F71)</f>
        <v>7958700</v>
      </c>
      <c r="D71" s="164">
        <f>+SALDOS!C136</f>
        <v>0</v>
      </c>
      <c r="E71" s="164">
        <f>+SALDOS!C137</f>
        <v>7958700</v>
      </c>
      <c r="F71" s="168">
        <v>0</v>
      </c>
      <c r="G71" s="166"/>
      <c r="H71" s="40"/>
      <c r="I71" s="40"/>
      <c r="J71" s="40"/>
      <c r="K71" s="40"/>
    </row>
    <row r="72" hidden="1" spans="1:11" x14ac:dyDescent="0.25">
      <c r="A72" s="124"/>
      <c r="B72" s="110"/>
      <c r="C72" s="163"/>
      <c r="D72" s="164"/>
      <c r="E72" s="164">
        <f>+SALDOS!C138</f>
        <v>0</v>
      </c>
      <c r="F72" s="168">
        <v>0</v>
      </c>
      <c r="G72" s="166"/>
      <c r="H72" s="40"/>
      <c r="I72" s="40"/>
      <c r="J72" s="40"/>
      <c r="K72" s="40"/>
    </row>
    <row r="73" hidden="1" spans="1:11" x14ac:dyDescent="0.25">
      <c r="A73" s="124"/>
      <c r="B73" s="110" t="s">
        <v>465</v>
      </c>
      <c r="C73" s="163">
        <f>SUM(D73:F73)</f>
        <v>0</v>
      </c>
      <c r="D73" s="164"/>
      <c r="E73" s="164">
        <f>+SALDOS!C170</f>
        <v>0</v>
      </c>
      <c r="F73" s="168"/>
      <c r="G73" s="166"/>
      <c r="H73" s="40"/>
      <c r="I73" s="40"/>
      <c r="J73" s="40"/>
      <c r="K73" s="40"/>
    </row>
    <row r="74" hidden="1" spans="1:11" x14ac:dyDescent="0.25">
      <c r="A74" s="124"/>
      <c r="B74" s="110" t="s">
        <v>466</v>
      </c>
      <c r="C74" s="163">
        <f>SUM(D74:F74)</f>
        <v>0</v>
      </c>
      <c r="D74" s="164">
        <f>+SALDOS!C179+SALDOS!C132</f>
        <v>0</v>
      </c>
      <c r="E74" s="164">
        <v>0</v>
      </c>
      <c r="F74" s="168">
        <v>0</v>
      </c>
      <c r="G74" s="166"/>
      <c r="H74" s="40"/>
      <c r="I74" s="40"/>
      <c r="J74" s="40"/>
      <c r="K74" s="40"/>
    </row>
    <row r="75" hidden="1" spans="1:11" x14ac:dyDescent="0.25">
      <c r="A75" s="124"/>
      <c r="B75" s="110" t="s">
        <v>467</v>
      </c>
      <c r="C75" s="163">
        <f>SUM(D75:F75)</f>
        <v>0</v>
      </c>
      <c r="D75" s="164">
        <v>0</v>
      </c>
      <c r="E75" s="164">
        <v>0</v>
      </c>
      <c r="F75" s="168">
        <v>0</v>
      </c>
      <c r="G75" s="166"/>
      <c r="H75" s="40"/>
      <c r="I75" s="40"/>
      <c r="J75" s="40"/>
      <c r="K75" s="40"/>
    </row>
    <row r="76" spans="1:11" x14ac:dyDescent="0.25">
      <c r="A76" s="124"/>
      <c r="B76" s="110" t="s">
        <v>468</v>
      </c>
      <c r="C76" s="163">
        <f>SUM(D76:F76)</f>
        <v>77279850.76</v>
      </c>
      <c r="D76" s="164">
        <v>0</v>
      </c>
      <c r="E76" s="164">
        <f>+SALDOS!C164</f>
        <v>77279850.76</v>
      </c>
      <c r="F76" s="168">
        <v>0</v>
      </c>
      <c r="G76" s="166"/>
      <c r="H76" s="40"/>
      <c r="I76" s="40"/>
      <c r="J76" s="40"/>
      <c r="K76" s="40"/>
    </row>
    <row r="77" spans="1:11" x14ac:dyDescent="0.25">
      <c r="A77" s="124"/>
      <c r="B77" s="110" t="s">
        <v>469</v>
      </c>
      <c r="C77" s="163">
        <f>SUM(D77:F77)</f>
        <v>217000</v>
      </c>
      <c r="D77" s="164">
        <v>0</v>
      </c>
      <c r="E77" s="164">
        <f>+SALDOS!C178</f>
        <v>217000</v>
      </c>
      <c r="F77" s="168">
        <v>0</v>
      </c>
      <c r="G77" s="166"/>
      <c r="H77" s="40"/>
      <c r="I77" s="40"/>
      <c r="J77" s="40"/>
      <c r="K77" s="40"/>
    </row>
    <row r="78" hidden="1" spans="1:11" x14ac:dyDescent="0.25">
      <c r="A78" s="124"/>
      <c r="B78" s="110" t="s">
        <v>470</v>
      </c>
      <c r="C78" s="163">
        <f>SUM(D78:F78)</f>
        <v>0</v>
      </c>
      <c r="D78" s="164">
        <f>-SALDOS!D140+SALDOS!C140</f>
        <v>0</v>
      </c>
      <c r="E78" s="164">
        <v>0</v>
      </c>
      <c r="F78" s="168">
        <v>0</v>
      </c>
      <c r="G78" s="166"/>
      <c r="H78" s="40"/>
      <c r="I78" s="40"/>
      <c r="J78" s="40"/>
      <c r="K78" s="40"/>
    </row>
    <row r="79" hidden="1" spans="1:11" x14ac:dyDescent="0.25">
      <c r="A79" s="124"/>
      <c r="B79" s="110" t="s">
        <v>471</v>
      </c>
      <c r="C79" s="163">
        <f>SUM(D79:F79)</f>
        <v>0</v>
      </c>
      <c r="D79" s="164">
        <f>+SALDOS!C187</f>
        <v>0</v>
      </c>
      <c r="E79" s="164">
        <f>+SALDOS!C218</f>
        <v>0</v>
      </c>
      <c r="F79" s="168">
        <v>0</v>
      </c>
      <c r="G79" s="166"/>
      <c r="H79" s="40"/>
      <c r="I79" s="40"/>
      <c r="J79" s="40"/>
      <c r="K79" s="40"/>
    </row>
    <row r="80" spans="1:11" x14ac:dyDescent="0.25">
      <c r="A80" s="124"/>
      <c r="B80" s="110" t="s">
        <v>472</v>
      </c>
      <c r="C80" s="163">
        <f>SUM(D80:F80)</f>
        <v>672542.18</v>
      </c>
      <c r="D80" s="164">
        <v>0</v>
      </c>
      <c r="E80" s="163">
        <f>+SALDOS!C124+SALDOS!C155</f>
        <v>672542.18</v>
      </c>
      <c r="F80" s="168">
        <v>0</v>
      </c>
      <c r="G80" s="166"/>
      <c r="H80" s="40"/>
      <c r="I80" s="40"/>
      <c r="J80" s="40"/>
      <c r="K80" s="40"/>
    </row>
    <row r="81" spans="1:11" x14ac:dyDescent="0.25">
      <c r="A81" s="124"/>
      <c r="B81" s="110" t="s">
        <v>473</v>
      </c>
      <c r="C81" s="163">
        <f>SUM(D81:F81)</f>
        <v>35815367.33</v>
      </c>
      <c r="D81" s="164">
        <v>0</v>
      </c>
      <c r="E81" s="163">
        <f>+SALDOS!C198</f>
        <v>35815367.33</v>
      </c>
      <c r="F81" s="168">
        <v>0</v>
      </c>
      <c r="G81" s="170"/>
      <c r="H81" s="40"/>
      <c r="I81" s="40"/>
      <c r="J81" s="40"/>
      <c r="K81" s="40"/>
    </row>
    <row r="82" hidden="1" spans="1:11" x14ac:dyDescent="0.25">
      <c r="A82" s="124"/>
      <c r="B82" s="110" t="s">
        <v>474</v>
      </c>
      <c r="C82" s="163">
        <f>SUM(D82:F82)</f>
        <v>0</v>
      </c>
      <c r="D82" s="164">
        <f>+SALDOS!C152</f>
        <v>0</v>
      </c>
      <c r="E82" s="171">
        <v>0</v>
      </c>
      <c r="F82" s="168">
        <v>0</v>
      </c>
      <c r="G82" s="170"/>
      <c r="H82" s="88"/>
      <c r="I82" s="40"/>
      <c r="J82" s="40"/>
      <c r="K82" s="40"/>
    </row>
    <row r="83" ht="14.4" customHeight="1" spans="1:11" x14ac:dyDescent="0.25">
      <c r="A83" s="124"/>
      <c r="B83" s="110" t="s">
        <v>475</v>
      </c>
      <c r="C83" s="163">
        <f>SUM(D83:F83)</f>
        <v>35343239.89</v>
      </c>
      <c r="D83" s="164">
        <f>SALDOS!C158</f>
        <v>55100</v>
      </c>
      <c r="E83" s="171">
        <f>+SALDOS!C159</f>
        <v>35288139.89</v>
      </c>
      <c r="F83" s="168">
        <v>0</v>
      </c>
      <c r="G83" s="170"/>
      <c r="H83" s="88"/>
      <c r="I83" s="40"/>
      <c r="J83" s="40"/>
      <c r="K83" s="40"/>
    </row>
    <row r="84" ht="14.4" customHeight="1" hidden="1" spans="1:11" x14ac:dyDescent="0.25">
      <c r="A84" s="124"/>
      <c r="B84" s="110" t="s">
        <v>476</v>
      </c>
      <c r="C84" s="163">
        <f>SUM(D84:F84)</f>
        <v>0</v>
      </c>
      <c r="D84" s="164">
        <v>0</v>
      </c>
      <c r="E84" s="171">
        <v>0</v>
      </c>
      <c r="F84" s="168">
        <f>+SALDOS!C220</f>
        <v>0</v>
      </c>
      <c r="G84" s="170"/>
      <c r="H84" s="40"/>
      <c r="I84" s="40"/>
      <c r="J84" s="40"/>
      <c r="K84" s="40"/>
    </row>
    <row r="85" ht="15" customHeight="1" spans="1:11" x14ac:dyDescent="0.25">
      <c r="A85" s="172"/>
      <c r="B85" s="173" t="str">
        <f>+EEPN!B17</f>
        <v>Total al 31.7.2026</v>
      </c>
      <c r="C85" s="174">
        <f>SUM(C11:C84)</f>
        <v>611748648.17</v>
      </c>
      <c r="D85" s="175">
        <f>SUM(D11:D84)</f>
        <v>66231302.71</v>
      </c>
      <c r="E85" s="175">
        <f>SUM(E11:E84)</f>
        <v>537188320.0699999</v>
      </c>
      <c r="F85" s="174">
        <f>SUM(F11:F84)</f>
        <v>8329025.390000001</v>
      </c>
      <c r="G85" s="176" t="e">
        <f>SUM(#REF!)</f>
        <v>#REF!</v>
      </c>
      <c r="H85" s="40"/>
      <c r="I85" s="40"/>
      <c r="J85" s="40"/>
      <c r="K85" s="40"/>
    </row>
    <row r="86" ht="15" customHeight="1" hidden="1" spans="1:11" x14ac:dyDescent="0.25">
      <c r="A86" s="110"/>
      <c r="B86" s="177" t="s">
        <v>291</v>
      </c>
      <c r="C86" s="177">
        <f>SUM(C15:C85)</f>
        <v>1206100208.05</v>
      </c>
      <c r="D86" s="111">
        <v>0</v>
      </c>
      <c r="E86" s="178">
        <v>0</v>
      </c>
      <c r="F86" s="111">
        <v>0</v>
      </c>
      <c r="G86" s="179">
        <f>SUM(D86:F86)</f>
        <v>0</v>
      </c>
      <c r="H86" s="40"/>
      <c r="I86" s="40"/>
      <c r="J86" s="40"/>
      <c r="K86" s="40"/>
    </row>
    <row r="87" ht="14.4" customHeight="1" spans="1:11" x14ac:dyDescent="0.25">
      <c r="A87" s="110"/>
      <c r="B87" s="110"/>
      <c r="C87" s="177"/>
      <c r="D87" s="111"/>
      <c r="E87" s="111"/>
      <c r="F87" s="111"/>
      <c r="G87" s="83"/>
      <c r="H87" s="40"/>
      <c r="I87" s="40"/>
      <c r="J87" s="40"/>
      <c r="K87" s="40"/>
    </row>
    <row r="88" spans="1:11" x14ac:dyDescent="0.25">
      <c r="A88" s="110" t="s">
        <v>242</v>
      </c>
      <c r="B88" s="110"/>
      <c r="C88" s="110"/>
      <c r="D88" s="110"/>
      <c r="E88" s="110"/>
      <c r="F88" s="110"/>
      <c r="G88" s="40"/>
      <c r="H88" s="40"/>
      <c r="I88" s="40"/>
      <c r="J88" s="40"/>
      <c r="K88" s="40"/>
    </row>
    <row r="89" spans="1:11" x14ac:dyDescent="0.25">
      <c r="A89" s="110" t="s">
        <v>243</v>
      </c>
      <c r="B89" s="110"/>
      <c r="C89" s="111"/>
      <c r="D89" s="110"/>
      <c r="E89" s="110"/>
      <c r="F89" s="110"/>
      <c r="G89" s="40"/>
      <c r="H89" s="40"/>
      <c r="I89" s="40"/>
      <c r="J89" s="40"/>
      <c r="K89" s="40"/>
    </row>
    <row r="90" spans="1:11" x14ac:dyDescent="0.25">
      <c r="A90" s="110"/>
      <c r="B90" s="110"/>
      <c r="C90" s="110"/>
      <c r="D90" s="110"/>
      <c r="E90" s="110"/>
      <c r="F90" s="110"/>
      <c r="G90" s="40"/>
      <c r="H90" s="40"/>
      <c r="I90" s="40"/>
      <c r="J90" s="40"/>
      <c r="K90" s="40"/>
    </row>
    <row r="91" spans="1:11" x14ac:dyDescent="0.25">
      <c r="A91" s="110"/>
      <c r="B91" s="110"/>
      <c r="C91" s="111"/>
      <c r="D91" s="111"/>
      <c r="E91" s="110"/>
      <c r="F91" s="110"/>
      <c r="G91" s="40"/>
      <c r="H91" s="40"/>
      <c r="I91" s="40"/>
      <c r="J91" s="40"/>
      <c r="K91" s="40"/>
    </row>
    <row r="92" spans="1:11" x14ac:dyDescent="0.25">
      <c r="A92" s="110"/>
      <c r="B92" s="110"/>
      <c r="C92" s="110"/>
      <c r="D92" s="110"/>
      <c r="E92" s="110"/>
      <c r="F92" s="110"/>
      <c r="G92" s="40"/>
      <c r="H92" s="40"/>
      <c r="I92" s="40"/>
      <c r="J92" s="40"/>
      <c r="K92" s="40"/>
    </row>
    <row r="93" spans="1:11" x14ac:dyDescent="0.25">
      <c r="A93" s="110"/>
      <c r="B93" s="110"/>
      <c r="C93" s="110"/>
      <c r="D93" s="122"/>
      <c r="E93" s="110"/>
      <c r="F93" s="110"/>
      <c r="G93" s="40"/>
      <c r="H93" s="40"/>
      <c r="I93" s="40"/>
      <c r="J93" s="40"/>
      <c r="K93" s="40"/>
    </row>
    <row r="94" spans="1:11" x14ac:dyDescent="0.25">
      <c r="A94" s="110"/>
      <c r="B94" s="110"/>
      <c r="C94" s="122" t="str">
        <f>+'Anexo I'!C27</f>
        <v>Miguel Ángel Alonso</v>
      </c>
      <c r="D94" s="122"/>
      <c r="E94" s="122" t="str">
        <f>+'Anexo I'!I27</f>
        <v>Tomas Furlong</v>
      </c>
      <c r="F94" s="110"/>
      <c r="G94" s="40"/>
      <c r="H94" s="40"/>
      <c r="I94" s="40"/>
      <c r="J94" s="40"/>
      <c r="K94" s="40"/>
    </row>
    <row r="95" spans="1:11" x14ac:dyDescent="0.25">
      <c r="A95" s="110"/>
      <c r="B95" s="110"/>
      <c r="C95" s="122" t="str">
        <f>+'Anexo I'!C28</f>
        <v>Contador Público (UCA)</v>
      </c>
      <c r="D95" s="122"/>
      <c r="E95" s="122" t="str">
        <f>+'Anexo I'!I28</f>
        <v>Transportes Furlong S.A.</v>
      </c>
      <c r="F95" s="110"/>
      <c r="G95" s="40"/>
      <c r="H95" s="40"/>
      <c r="I95" s="40"/>
      <c r="J95" s="40"/>
      <c r="K95" s="40"/>
    </row>
    <row r="96" spans="1:11" x14ac:dyDescent="0.25">
      <c r="A96" s="110"/>
      <c r="B96" s="110"/>
      <c r="C96" s="122" t="str">
        <f>+'Anexo I'!C29</f>
        <v>C.P.C.E.C.A.B.A. Tº176 Fº3</v>
      </c>
      <c r="D96" s="122"/>
      <c r="E96" s="122" t="str">
        <f>+'Anexo I'!I29</f>
        <v>Apoderado</v>
      </c>
      <c r="F96" s="110"/>
      <c r="G96" s="40"/>
      <c r="H96" s="40"/>
      <c r="I96" s="40"/>
      <c r="J96" s="40"/>
      <c r="K96" s="40"/>
    </row>
    <row r="97" spans="1:11" x14ac:dyDescent="0.25">
      <c r="A97" s="110"/>
      <c r="B97" s="110"/>
      <c r="C97" s="122"/>
      <c r="D97" s="122"/>
      <c r="E97" s="122"/>
      <c r="F97" s="122"/>
      <c r="G97" s="40"/>
      <c r="H97" s="40"/>
      <c r="I97" s="40"/>
      <c r="J97" s="40"/>
      <c r="K97" s="40"/>
    </row>
    <row r="98" spans="1:11" x14ac:dyDescent="0.25">
      <c r="A98" s="110"/>
      <c r="B98" s="110"/>
      <c r="C98" s="122"/>
      <c r="D98" s="110"/>
      <c r="E98" s="110"/>
      <c r="F98" s="122"/>
      <c r="G98" s="40"/>
      <c r="H98" s="40"/>
      <c r="I98" s="40"/>
      <c r="J98" s="40"/>
      <c r="K98" s="40"/>
    </row>
    <row r="99" spans="1:11" x14ac:dyDescent="0.25">
      <c r="A99" s="110"/>
      <c r="B99" s="110"/>
      <c r="C99" s="122"/>
      <c r="D99" s="110"/>
      <c r="E99" s="110"/>
      <c r="F99" s="122"/>
      <c r="G99" s="40"/>
      <c r="H99" s="40"/>
      <c r="I99" s="40"/>
      <c r="J99" s="40"/>
      <c r="K99" s="40"/>
    </row>
  </sheetData>
  <autoFilter ref="A10:F89"/>
  <pageMargins left="0.23" right="0.75" top="0.34" bottom="0.37" header="0" footer="0"/>
  <pageSetup paperSize="9" orientation="portrait" horizontalDpi="4294967295" verticalDpi="4294967295" scale="6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"/>
  <sheetViews>
    <sheetView workbookViewId="0" zoomScale="100" zoomScaleNormal="100"/>
  </sheetViews>
  <sheetFormatPr defaultRowHeight="0" outlineLevelRow="0" outlineLevelCol="0" x14ac:dyDescent="0" customHeight="1"/>
  <cols>
    <col min="1" max="1" width="13" customWidth="1"/>
    <col min="2" max="257" width="9.109375" customWidth="1"/>
  </cols>
  <sheetData>
    <row r="1" spans="1:7" x14ac:dyDescent="0.25">
      <c r="A1" s="115"/>
      <c r="B1" s="115"/>
      <c r="C1" s="115"/>
      <c r="D1" s="115"/>
      <c r="E1" s="115"/>
      <c r="F1" s="115"/>
      <c r="G1" s="115"/>
    </row>
    <row r="2" spans="1:7" x14ac:dyDescent="0.25">
      <c r="A2" s="115"/>
      <c r="B2" s="115"/>
      <c r="C2" s="115"/>
      <c r="D2" s="115"/>
      <c r="E2" s="115"/>
      <c r="F2" s="115"/>
      <c r="G2" s="115"/>
    </row>
    <row r="3" spans="1:7" x14ac:dyDescent="0.25">
      <c r="A3" s="115" t="s">
        <v>477</v>
      </c>
      <c r="B3" s="115"/>
      <c r="C3" s="115"/>
      <c r="D3" s="115"/>
      <c r="E3" s="115"/>
      <c r="F3" s="115"/>
      <c r="G3" s="115" t="s">
        <v>478</v>
      </c>
    </row>
    <row r="4" spans="1:7" x14ac:dyDescent="0.25">
      <c r="A4" s="114">
        <f>+EESP!F32</f>
        <v>149053311.99999997</v>
      </c>
      <c r="B4" s="115" t="s">
        <v>479</v>
      </c>
      <c r="C4" s="115"/>
      <c r="D4" s="115"/>
      <c r="E4" s="115"/>
      <c r="F4" s="115"/>
      <c r="G4" s="115"/>
    </row>
    <row r="5" spans="1:7" x14ac:dyDescent="0.25">
      <c r="A5" s="114">
        <f>+EESP!L24</f>
        <v>591161828.53</v>
      </c>
      <c r="B5" s="115" t="s">
        <v>336</v>
      </c>
      <c r="C5" s="115"/>
      <c r="D5" s="115"/>
      <c r="E5" s="115"/>
      <c r="F5" s="115"/>
      <c r="G5" s="115"/>
    </row>
    <row r="6" spans="1:7" x14ac:dyDescent="0.25">
      <c r="A6" s="114">
        <f>+A4-A5</f>
        <v>-442108516.53</v>
      </c>
      <c r="B6" s="115" t="s">
        <v>480</v>
      </c>
      <c r="C6" s="115"/>
      <c r="D6" s="115"/>
      <c r="E6" s="115"/>
      <c r="F6" s="115"/>
      <c r="G6" s="115"/>
    </row>
    <row r="7" spans="1:7" x14ac:dyDescent="0.25">
      <c r="A7" s="114">
        <f>+A6*0.005</f>
        <v>-2210542.5826499998</v>
      </c>
      <c r="B7" s="115" t="s">
        <v>481</v>
      </c>
      <c r="C7" s="115"/>
      <c r="D7" s="115"/>
      <c r="E7" s="115"/>
      <c r="F7" s="115"/>
      <c r="G7" s="115"/>
    </row>
  </sheetData>
  <pageMargins left="0.75" right="0.75" top="1" bottom="1" header="0" footer="0"/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SALDOS</vt:lpstr>
      <vt:lpstr>EESP</vt:lpstr>
      <vt:lpstr>EERR</vt:lpstr>
      <vt:lpstr>EEPN</vt:lpstr>
      <vt:lpstr>Activo</vt:lpstr>
      <vt:lpstr>Pasivo</vt:lpstr>
      <vt:lpstr>Anexo I</vt:lpstr>
      <vt:lpstr>Anexo II</vt:lpstr>
      <vt:lpstr>Bienes</vt:lpstr>
    </vt:vector>
  </TitlesOfParts>
  <Company>Estudio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Estudio</dc:creator>
  <cp:lastModifiedBy>Roman Martin Justo</cp:lastModifiedBy>
  <cp:lastPrinted>2017-11-14T18:28:32Z</cp:lastPrinted>
  <dcterms:created xsi:type="dcterms:W3CDTF">2006-02-16T20:30:30Z</dcterms:created>
  <dcterms:modified xsi:type="dcterms:W3CDTF">2026-08-14T17:45:35Z</dcterms:modified>
</cp:coreProperties>
</file>