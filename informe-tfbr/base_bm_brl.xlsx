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" state="visible" r:id="rId4"/>
    <sheet sheetId="2" name="EESP" state="visible" r:id="rId5"/>
    <sheet sheetId="3" name="EERR" state="visible" r:id="rId6"/>
    <sheet sheetId="4" name="EEPN" state="visible" r:id="rId7"/>
    <sheet sheetId="5" name="Activo" state="visible" r:id="rId8"/>
    <sheet sheetId="6" name="Pasivo" state="visible" r:id="rId9"/>
    <sheet sheetId="7" name="Anexo I" state="visible" r:id="rId10"/>
    <sheet sheetId="8" name="Anexo II" state="visible" r:id="rId11"/>
  </sheets>
  <definedNames>
    <definedName name="_xlnm.Print_Area" localSheetId="0">'SALDOS'!$B129:$D225</definedName>
  </definedNames>
  <calcPr calcId="171027"/>
</workbook>
</file>

<file path=xl/sharedStrings.xml><?xml version="1.0" encoding="utf-8"?>
<sst xmlns="http://schemas.openxmlformats.org/spreadsheetml/2006/main" count="732" uniqueCount="602">
  <si>
    <t>TRANSPORTES FURLONG S.A.</t>
  </si>
  <si>
    <t>del 01/07/2026 al 31/07/2026</t>
  </si>
  <si>
    <t>T.C. Reales al 31/7/26</t>
  </si>
  <si>
    <t>Deudor</t>
  </si>
  <si>
    <t>Acreedor</t>
  </si>
  <si>
    <t>saldo</t>
  </si>
  <si>
    <t>Activo</t>
  </si>
  <si>
    <t>1110100330  FONDO FIJO BS. AS.</t>
  </si>
  <si>
    <t>1110100340  FONDO FIJO SENASA</t>
  </si>
  <si>
    <t>1110100420  BANCO FRANCES C/C</t>
  </si>
  <si>
    <t>1110101050 FONDO FIJO ADELANTOS PDT</t>
  </si>
  <si>
    <t>1120100100  FORD</t>
  </si>
  <si>
    <t>1120100400  TRANSPORTES FURLONG S.A. AR</t>
  </si>
  <si>
    <t>1120100700  RENAULT ARG. S.A.</t>
  </si>
  <si>
    <t>1120101300  VOLKSWAGEN ARGENTINA S.A.</t>
  </si>
  <si>
    <t>1120101600  FCA AUTOMOBILES ARGENTINA S.A.</t>
  </si>
  <si>
    <t>1120131000  CNH ARGENTINA S.A.</t>
  </si>
  <si>
    <t>1120138000  STELLANTIS AUTOMOVILES DE ARGENTINA S. A</t>
  </si>
  <si>
    <t>1140300100  ANTICIPO A PDT</t>
  </si>
  <si>
    <t>1140600700  PRESTAMO CARLOS FURLONG</t>
  </si>
  <si>
    <t>1140600300  PRESTAMO A. VELASCO</t>
  </si>
  <si>
    <t>1140601100  PRESTAMO LORENA ALVES</t>
  </si>
  <si>
    <t>1140500300 ANTICIPO DE VACACIONES</t>
  </si>
  <si>
    <t>1140601300  PRESTAMO CUBA</t>
  </si>
  <si>
    <t>1140601400  PRESTAMO VERA</t>
  </si>
  <si>
    <t>1140900700  SEGUROS A DEV. ZURICH ASEG. S.A.</t>
  </si>
  <si>
    <t>1140900800  SEGUROS A DEV. ARG LA MERIDIONAL</t>
  </si>
  <si>
    <t>1140900900  SEGUROS A DEV. FEDERACION PATRONAL SA</t>
  </si>
  <si>
    <t>1160100000  FCI BBVA Inversiones</t>
  </si>
  <si>
    <t>1210100100  SOFTWARE</t>
  </si>
  <si>
    <t>121020010  M Y UTS SILLON GIRATORIO</t>
  </si>
  <si>
    <t>121020200  M Y UTS ESCRITORIO</t>
  </si>
  <si>
    <t>1210200300  MUEBLES Y UTILES</t>
  </si>
  <si>
    <t>1210700100  RODADOS</t>
  </si>
  <si>
    <t>1210300100  IMPRESORA EPSON LX300</t>
  </si>
  <si>
    <t>1210300200  IMPRESORA EPSON MULTIFUNCIÓN</t>
  </si>
  <si>
    <t>1210300300  COMPUTADORAS</t>
  </si>
  <si>
    <t>1210400100  EQUIPOS</t>
  </si>
  <si>
    <t>1210500100  AIRE ACONDICIONADO</t>
  </si>
  <si>
    <t>1210500200  CALEFÓN</t>
  </si>
  <si>
    <t>1160200000  Plazo fijo</t>
  </si>
  <si>
    <t>1160300000  Intereses a devengar PF</t>
  </si>
  <si>
    <t>1220200000  AMORT. ACUM. M Y UTS</t>
  </si>
  <si>
    <t>1220100000  AMORT. ACUM. SOFTWARE</t>
  </si>
  <si>
    <t>1220500000  AMORT. ACUM. HARDWARE</t>
  </si>
  <si>
    <t>1220300000  AMORT. ACUM. EQUIPOS</t>
  </si>
  <si>
    <t>1220400000  AMORT. ACUM. INSTALACIONES</t>
  </si>
  <si>
    <t>1220600000  AMORT. ACUM. COMPUTADORAS</t>
  </si>
  <si>
    <t>1220700000  AMORT. ACUM. RODADOS</t>
  </si>
  <si>
    <t>Pasivo</t>
  </si>
  <si>
    <t>COTELCAM</t>
  </si>
  <si>
    <t>2110100300  COTELCAM</t>
  </si>
  <si>
    <t>2110102400  OSDE</t>
  </si>
  <si>
    <t>ESTUDIO CORTES</t>
  </si>
  <si>
    <t>2110100900  ESTUDIO CORTES</t>
  </si>
  <si>
    <t>VENEZIA AUTOS SA</t>
  </si>
  <si>
    <t>2110101500  VENEZIA AUTOS SA</t>
  </si>
  <si>
    <t>TRANSPORTES FURLONG ARG. S.A</t>
  </si>
  <si>
    <t>2110101800  TRANSPORTES FURLONG ARG. S.A</t>
  </si>
  <si>
    <t>MERCOVIA S.A.</t>
  </si>
  <si>
    <t>2110105400  MERCOVIA S.A.</t>
  </si>
  <si>
    <t>OKINET SRL</t>
  </si>
  <si>
    <t>2110106800  OKINET SRL</t>
  </si>
  <si>
    <t>LA MERIDIONAL S.A.</t>
  </si>
  <si>
    <t>2110108900  LA MERIDIONAL S.A.</t>
  </si>
  <si>
    <t>GIULI SERGIO ALBERTO</t>
  </si>
  <si>
    <t>2110115100  GIULI SERGIO ALBERTO</t>
  </si>
  <si>
    <t>CARLOS ALEJANDRO DUMA</t>
  </si>
  <si>
    <t>2110116700  CARLOS ALEJANDRO DUMA</t>
  </si>
  <si>
    <t>MANGGINI PABLO Y ULISES S.H</t>
  </si>
  <si>
    <t>2110118000  MANGGINI PABLO Y ULISES S.H</t>
  </si>
  <si>
    <t>QBE SEGUROS LA BUENOS AIRES S.A.</t>
  </si>
  <si>
    <t>2110120600  QBE SEGUROS LA BUENOS AIRES S.A.</t>
  </si>
  <si>
    <t>2110131700  LIBRERIA MAYA SA</t>
  </si>
  <si>
    <t>SERVI OESTE S.A</t>
  </si>
  <si>
    <t>2110125800  SERVI OESTE S.A</t>
  </si>
  <si>
    <t>RODRIGO E. FONTAN</t>
  </si>
  <si>
    <t>2110126900  RODRIGO E. FONTAN</t>
  </si>
  <si>
    <t>2110132900  AURELIA S.A.C.I.F.</t>
  </si>
  <si>
    <t>AB Fiduciaria S.A.</t>
  </si>
  <si>
    <t>2110127300  AB Fiduciaria S.A.</t>
  </si>
  <si>
    <t>LAURA DI GIROLAMO</t>
  </si>
  <si>
    <t>2110129600  LAURA DI GIROLAMO</t>
  </si>
  <si>
    <t>LUCIO JORGE ZEMBORAIN</t>
  </si>
  <si>
    <t>2110130100  LUCIO JORGE ZEMBORAIN</t>
  </si>
  <si>
    <t>HOCO S.A.</t>
  </si>
  <si>
    <t>2110134300  HOCO S.A.</t>
  </si>
  <si>
    <t>FIDEICOMISO RS CAMPANA</t>
  </si>
  <si>
    <t>2110141500  FIDEICOMISO RS CAMPANA</t>
  </si>
  <si>
    <t>ZOPPI MARIANO</t>
  </si>
  <si>
    <t>2110160100  ZOPPI MARIANO</t>
  </si>
  <si>
    <t>TANCO PADILLA ALFREDO</t>
  </si>
  <si>
    <t>2110160500  TANCO PADILLA ALFREDO</t>
  </si>
  <si>
    <t>QUEREJETA LUIS</t>
  </si>
  <si>
    <t>2110161200  QUEREJETA LUIS</t>
  </si>
  <si>
    <t>Marcos Gabriel Giordano</t>
  </si>
  <si>
    <t>2116100000  Marcos Gabriel Giordano</t>
  </si>
  <si>
    <t>OPUS INSPECTION S.A.</t>
  </si>
  <si>
    <t>2110803600  OPUS INSPECTION S.A.</t>
  </si>
  <si>
    <t>FEDERACION PATRONAL SEGUROS S.A</t>
  </si>
  <si>
    <t>2110192100  FEDERACION PATRONAL SEGUROS S.A</t>
  </si>
  <si>
    <t>RUBIN DE CELIS AGUSTIN</t>
  </si>
  <si>
    <t>2110195000  RUBIN DE CELIS AGUSTIN</t>
  </si>
  <si>
    <t>AMX ARGENTINA S.A.</t>
  </si>
  <si>
    <t>2110197900  AMX ARGENTINA S.A.</t>
  </si>
  <si>
    <t>DEFINOR S.A</t>
  </si>
  <si>
    <t>2110198300  DEFINOR S.A</t>
  </si>
  <si>
    <t>SUELDOS A PAGAR</t>
  </si>
  <si>
    <t>2110300100  SUELDOS A PAGAR</t>
  </si>
  <si>
    <t>CARGAS SOCIALES A PAGAR</t>
  </si>
  <si>
    <t>2110300200  CARGAS SOCIALES A PAGAR</t>
  </si>
  <si>
    <t>SICORE A PAGAR</t>
  </si>
  <si>
    <t>2110300400  SICORE A PAGAR</t>
  </si>
  <si>
    <t>PLAN MIS FACILIDADES R684502</t>
  </si>
  <si>
    <t>2110407000  PLAN MIS FACILIDADES</t>
  </si>
  <si>
    <t>INTERESES A DEVENGAR R684502</t>
  </si>
  <si>
    <t>2110408000  INTERESES A DEVENGAR</t>
  </si>
  <si>
    <t>PLAN MIS FACILIDADES T064177</t>
  </si>
  <si>
    <t>2110405000  PLAN MIS FACILIDADES T064177</t>
  </si>
  <si>
    <t>INTERESES A DEVENGAR T064177</t>
  </si>
  <si>
    <t>2110406000  INTERESES A DEVENGAR T064177</t>
  </si>
  <si>
    <t>2110800400  SEGURA PADILLA DOLORES DEL VALLE</t>
  </si>
  <si>
    <t>ADELANTO CASA MATRIZ</t>
  </si>
  <si>
    <t>2110700100  ADELANTO CASA MATRIZ</t>
  </si>
  <si>
    <t>ACUERDOS CNRT A PAGAR</t>
  </si>
  <si>
    <t>2110700600  ACUERDOS CNRT A PAGAR</t>
  </si>
  <si>
    <t>LETE MARIO NELSON</t>
  </si>
  <si>
    <t>2110801500  LETE MARIO NELSON</t>
  </si>
  <si>
    <t>ESTUDIO ADUANERO BERTORELLO &amp; Asoc SRL</t>
  </si>
  <si>
    <t>2110801800  ESTUDIO ADUANERO BERTORELLO &amp; Asoc SRL</t>
  </si>
  <si>
    <t>SERGIO MARCELO MARTIN</t>
  </si>
  <si>
    <t>2113200000  SERGIO MARCELO MARTIN</t>
  </si>
  <si>
    <t>AUTOPISTAS DEL SOL S.A.</t>
  </si>
  <si>
    <t>2110803300  AUTOPISTAS DEL SOL S.A.</t>
  </si>
  <si>
    <t>2110803700  AUTOPISTAS URBANAS S.A.</t>
  </si>
  <si>
    <t>2110804300  ZURICH ASEGURADORA ARGENTINA S.A</t>
  </si>
  <si>
    <t>2110804800   AUTOPISTAS DE BUENOS AIRES SA</t>
  </si>
  <si>
    <t>AUTOPISTAS DE BUENOS AIRES SA</t>
  </si>
  <si>
    <t>2110804100  FERNANDO ATILIO BERTORELLO</t>
  </si>
  <si>
    <t>MARCOS RAUL RODRIGUEZ</t>
  </si>
  <si>
    <t>2110804400  MARCOS RAUL RODRIGUEZ</t>
  </si>
  <si>
    <t>2110805400  HOTEL RENTAL SUITES CAMPANA</t>
  </si>
  <si>
    <t>2116300000  Sistemas Bejerman</t>
  </si>
  <si>
    <t>2116400000 AUTOVIA DEL MERCOSUR</t>
  </si>
  <si>
    <t>2110805100  Concesionaria  Rodovias</t>
  </si>
  <si>
    <t>2112100000  ARTEAGA PEDRO</t>
  </si>
  <si>
    <t>2115900000  ROMERO SILVIA ADRIANA</t>
  </si>
  <si>
    <t>FERNANDEZ MEDINA MARIA ELSA</t>
  </si>
  <si>
    <t>2113000000  FERNANDEZ MEDINA MARIA ELSA</t>
  </si>
  <si>
    <t>FRONTAR LIBRE</t>
  </si>
  <si>
    <t>2113400000  FRONTAR LIBRE</t>
  </si>
  <si>
    <t>POLIPREN ARGENTINA SRL</t>
  </si>
  <si>
    <t>2113700000  POLIPREN ARGENTINA SRL</t>
  </si>
  <si>
    <t>Patrimonio Neto</t>
  </si>
  <si>
    <t>331000000  RNA EJERCICIO ANTERIOR</t>
  </si>
  <si>
    <t>332000000  RESULTADO DEL EJERCICIO</t>
  </si>
  <si>
    <t>333000000  A.R.E.A</t>
  </si>
  <si>
    <t>Resultados</t>
  </si>
  <si>
    <t>4110100000  SERVICIOS PRESTADOS</t>
  </si>
  <si>
    <t>4120200000  DIFERENCIA DE COTIZACIÓN</t>
  </si>
  <si>
    <t>4231100000  RESULTADO POR TENENCIA FCI</t>
  </si>
  <si>
    <t>RECUPERO DE GASTOS</t>
  </si>
  <si>
    <t>412020000  DIFERENCIA DE COTIZACION</t>
  </si>
  <si>
    <t>4120400000  RECUPERO DE SINIESTRO</t>
  </si>
  <si>
    <t>4120300000  VENTA RODADO</t>
  </si>
  <si>
    <t>4120500000  INTERESES GANADOS</t>
  </si>
  <si>
    <t>421010000  GASTOS GENERALES</t>
  </si>
  <si>
    <t>4210200000  MOVILIDAD Y VIÁTICOS</t>
  </si>
  <si>
    <t>4210300000  SUELDOS</t>
  </si>
  <si>
    <t>4210400000  HONORARIOS PROFESIONALES</t>
  </si>
  <si>
    <t>421050000  LIBRERIA</t>
  </si>
  <si>
    <t>4210600000  CONTRIBUCIONES PATRONALES</t>
  </si>
  <si>
    <t>4224100000  INDEMNIZACION POR DESPIDO</t>
  </si>
  <si>
    <t>421080000  ADICIONAL OBRA SOCIAL</t>
  </si>
  <si>
    <t>4210700000  MANTENIMIENTO DE MÁQUINAS</t>
  </si>
  <si>
    <t>421110000  REDONDEO</t>
  </si>
  <si>
    <t>421120000  GASTOS TELEFONICOS</t>
  </si>
  <si>
    <t>421130000  GASTOS OBRA SOCIAL</t>
  </si>
  <si>
    <t>421140000  Gastos en Tramites</t>
  </si>
  <si>
    <t>421150000  Honorarios Directores</t>
  </si>
  <si>
    <t>421160000  SERVICIO DE LIMPIEZA</t>
  </si>
  <si>
    <t>421170000  GASTOS CAPACITACION</t>
  </si>
  <si>
    <t>4211800000  REPARACIONES</t>
  </si>
  <si>
    <t>421190000  CATERING</t>
  </si>
  <si>
    <t>4212000000  MANTENIMIENTO</t>
  </si>
  <si>
    <t>421220000  LEGALIZACIONES</t>
  </si>
  <si>
    <t>421230000  GASTOS VARIOS PERSONAL</t>
  </si>
  <si>
    <t>4212500000  AMORTIZACIONES</t>
  </si>
  <si>
    <t>4212600000  AGUA</t>
  </si>
  <si>
    <t>4212700000  ALQUILER FOTOCOPIADORA</t>
  </si>
  <si>
    <t>4213200000  ACUERDO SECLO</t>
  </si>
  <si>
    <t>4213300000  SALARIO COMPLEMENTARIO DEL DECRETO 332/20</t>
  </si>
  <si>
    <t>4213000000  ALQUILER OFICINA MÓVIL</t>
  </si>
  <si>
    <t>4213100000  GRATIFICACIONES</t>
  </si>
  <si>
    <t>4214000000  GASTOS MÉDICOS</t>
  </si>
  <si>
    <t>4215000000  HONORARIOS LEGALES</t>
  </si>
  <si>
    <t>4212100000  FLETES</t>
  </si>
  <si>
    <t>4210900000  GASTOS PC</t>
  </si>
  <si>
    <t>4218000000  GASTOS HOTELERÍA</t>
  </si>
  <si>
    <t>4219000000  GASTOS GESTORIA</t>
  </si>
  <si>
    <t>4216000000  HABILITACIONES</t>
  </si>
  <si>
    <t>4217000000  SELLADOS</t>
  </si>
  <si>
    <t>4212800000  TASAS AFIP</t>
  </si>
  <si>
    <t>4212900000  TASAS IGJ</t>
  </si>
  <si>
    <t>4220100000  SEGUROS</t>
  </si>
  <si>
    <t>4220200000  COMUNICACIONES</t>
  </si>
  <si>
    <t>422030000  LOCOMOCION</t>
  </si>
  <si>
    <t>422040000  CUSTODIA</t>
  </si>
  <si>
    <t>4220500000  DESPACHANTE</t>
  </si>
  <si>
    <t>4220600000  MANTENIMIENTO DE FLOTA</t>
  </si>
  <si>
    <t>4220700000  COMBUSTIBLE</t>
  </si>
  <si>
    <t>422080000  LAVADO DE FLOTA</t>
  </si>
  <si>
    <t>422090000  MENSAJERIA</t>
  </si>
  <si>
    <t>4221000000  PEAJES</t>
  </si>
  <si>
    <t>422110000  ESTACIONAMIENTO</t>
  </si>
  <si>
    <t>422120000  CNRT</t>
  </si>
  <si>
    <t>4221300000  GASTOS VARIOS</t>
  </si>
  <si>
    <t>4221400000  SEGURIDAD Y VIGILANCIA</t>
  </si>
  <si>
    <t>4221500000  REFRIGERIOS</t>
  </si>
  <si>
    <t>4212400000  AUTÓNOMOS DIRECTORES</t>
  </si>
  <si>
    <t>4221600000  REPARACIONES FLOTA</t>
  </si>
  <si>
    <t>422170200  GTOS PLAYA  ESTADIAS</t>
  </si>
  <si>
    <t>4221800000  MULTAS</t>
  </si>
  <si>
    <t>4221900000  GASTOS DE REPRESENTACIÓN</t>
  </si>
  <si>
    <t>4222000000  GASTOS DE LOGÍSTICA</t>
  </si>
  <si>
    <t>4223000000  BS PERSONALES ACC Y PARTICIPACIONES</t>
  </si>
  <si>
    <t>422210000  ALQUILER DE AUTOS</t>
  </si>
  <si>
    <t>422220000  ACCIDENTES</t>
  </si>
  <si>
    <t>422230000  SINIESTROS</t>
  </si>
  <si>
    <t>4222400000  DONACIONES</t>
  </si>
  <si>
    <t>422250000  ESTIBAJES</t>
  </si>
  <si>
    <t>422260000  ALQUILER DPTO</t>
  </si>
  <si>
    <t>422270000  COMISIONES</t>
  </si>
  <si>
    <t>422280000  ALQUILER COCHERA</t>
  </si>
  <si>
    <t>422290000  ROPA DE TRABAJO</t>
  </si>
  <si>
    <t>422200000  GASTOS DE LOGISTICA</t>
  </si>
  <si>
    <t>422300000  IMP BIENES SOCIEDADES</t>
  </si>
  <si>
    <t>422310000  PATENTES</t>
  </si>
  <si>
    <t>4223200000  TASAS SENASA</t>
  </si>
  <si>
    <t>4224200000  GASTOS DE PUBLICIDAD</t>
  </si>
  <si>
    <t>422330000 JUICIOS</t>
  </si>
  <si>
    <t>4223400000  GASTOS VARIOS CLIENTES</t>
  </si>
  <si>
    <t>4223500000  VERIFICACIÓN TÉCNICA VEHICULAR</t>
  </si>
  <si>
    <t>4223600000  ADELANTO VIAJE</t>
  </si>
  <si>
    <t>4223600000  DEUDORES INCOBRABLES</t>
  </si>
  <si>
    <t>4223700000  VERIFICACIÓN POLICIAL</t>
  </si>
  <si>
    <t>4223800000  AJUSTE SALDO CLIENTE</t>
  </si>
  <si>
    <t>4223900000  GS ROPA DE TRABAJO</t>
  </si>
  <si>
    <t>4230100000  GASTOS Y COMISIONES BANCARIOS</t>
  </si>
  <si>
    <t>423020000  IMP A LOS DEBITOS</t>
  </si>
  <si>
    <t>423030000  IMP A LOS CREDITOS</t>
  </si>
  <si>
    <t>423040000  INTERESES RESARCITORIOS</t>
  </si>
  <si>
    <t>4230500000  LEASING</t>
  </si>
  <si>
    <t>4230800000  IMPUESTOS VARIOS</t>
  </si>
  <si>
    <t>4230900000  IMPUESTOS AL CHEQUE</t>
  </si>
  <si>
    <t>4230700000  EMBARGO RADICACIÓN VEHICULAR</t>
  </si>
  <si>
    <t>4240100000  COMBUSTIBLE</t>
  </si>
  <si>
    <t>4228000000 SERVICIO DE TRANSPORTE Y ALMACENAMIENTO</t>
  </si>
  <si>
    <t>4231200000  INTERESES FINANCIEROS</t>
  </si>
  <si>
    <t>4230400000  INTERESES RESARCITORIOS</t>
  </si>
  <si>
    <t>DIFERENCIA DE CAMBIO</t>
  </si>
  <si>
    <t>Diferencia</t>
  </si>
  <si>
    <t>Cuenta</t>
  </si>
  <si>
    <t>Monto</t>
  </si>
  <si>
    <t>2110407000  Plan mis Facilidades</t>
  </si>
  <si>
    <t>2110408000  Intereses a Devengar</t>
  </si>
  <si>
    <t>TRANSPORTES FURLONG S.A</t>
  </si>
  <si>
    <t>31 de Julio de 2026</t>
  </si>
  <si>
    <t>Estado de Situación Patrimonial</t>
  </si>
  <si>
    <t xml:space="preserve"> </t>
  </si>
  <si>
    <t>ACTIVO:</t>
  </si>
  <si>
    <t>PASIVO</t>
  </si>
  <si>
    <t>ACTIVO CORRIENTE</t>
  </si>
  <si>
    <t>PASIVO CORRIENTE</t>
  </si>
  <si>
    <t>Caja y bancos (Nota 4.a)</t>
  </si>
  <si>
    <t>Deudas</t>
  </si>
  <si>
    <t xml:space="preserve">Creditos comerciales </t>
  </si>
  <si>
    <t xml:space="preserve">Deudas impositivas </t>
  </si>
  <si>
    <t xml:space="preserve">Creditos Impositivos </t>
  </si>
  <si>
    <t xml:space="preserve">Deudas accionistas </t>
  </si>
  <si>
    <t>Inversiones temporarias (Nota 4.b)</t>
  </si>
  <si>
    <t>Comerciales (Nota 4.e)</t>
  </si>
  <si>
    <t>Otras deudas (Nota 4.f)</t>
  </si>
  <si>
    <t>Créditos por ventas (Nota 4.c)</t>
  </si>
  <si>
    <t>Remuneraciones y cs.sociales (Nota 4.f)</t>
  </si>
  <si>
    <t>Cargas fiscales (Nota 4.h)</t>
  </si>
  <si>
    <t>Otros activos</t>
  </si>
  <si>
    <t>Anticipos de clientes</t>
  </si>
  <si>
    <t>Dividendos a pagar</t>
  </si>
  <si>
    <t xml:space="preserve">Otros Creditos (Nota 4.d) </t>
  </si>
  <si>
    <t>Total deudas</t>
  </si>
  <si>
    <t>Previsones</t>
  </si>
  <si>
    <t>Total del Activo corriente</t>
  </si>
  <si>
    <t>Total del Pasivo Corriente</t>
  </si>
  <si>
    <t>Total del Pasivo</t>
  </si>
  <si>
    <t>ACTIVO NO CORRIENTE</t>
  </si>
  <si>
    <t>Bienes de uso (Anexo l )</t>
  </si>
  <si>
    <t>PATRIMONIO NETO (Según estado respec.)</t>
  </si>
  <si>
    <t>Total del Activo no corriente</t>
  </si>
  <si>
    <t>Total del Activo</t>
  </si>
  <si>
    <t>Total del Pasivo y Patrimonio Neto</t>
  </si>
  <si>
    <t>Estado de Resultados</t>
  </si>
  <si>
    <t>Ingresos por servicios prestados</t>
  </si>
  <si>
    <t>Gastos de comercialización (Anexo II)</t>
  </si>
  <si>
    <t>Gastos de administración (Anexo II)</t>
  </si>
  <si>
    <t>Gastos de financieros (Anexo II)</t>
  </si>
  <si>
    <t>Subtotal</t>
  </si>
  <si>
    <t>Resultado venta bienes de uso</t>
  </si>
  <si>
    <t>Otros Ingresos</t>
  </si>
  <si>
    <t>Diferencia de cambio</t>
  </si>
  <si>
    <t>Diferencia de cotización</t>
  </si>
  <si>
    <t>Intereses</t>
  </si>
  <si>
    <t>Ganancia antes de impuesto</t>
  </si>
  <si>
    <t>Impuesto a las Ganancias</t>
  </si>
  <si>
    <t>Ganancia del ejercicio</t>
  </si>
  <si>
    <t>Estado de Evolución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</si>
  <si>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</si>
  <si>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</si>
  <si>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</si>
  <si>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</si>
  <si>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</si>
  <si>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Total del</t>
  </si>
  <si>
    <t>Capital</t>
  </si>
  <si>
    <t xml:space="preserve">Ajuste </t>
  </si>
  <si>
    <t>Total de</t>
  </si>
  <si>
    <t>Reserva</t>
  </si>
  <si>
    <t xml:space="preserve">Otras </t>
  </si>
  <si>
    <t>Aportes</t>
  </si>
  <si>
    <t>no</t>
  </si>
  <si>
    <t>patrimonio</t>
  </si>
  <si>
    <t>de Capital</t>
  </si>
  <si>
    <t>legal</t>
  </si>
  <si>
    <t>reservas</t>
  </si>
  <si>
    <t>Irrevocables</t>
  </si>
  <si>
    <t>asignados</t>
  </si>
  <si>
    <t>neto</t>
  </si>
  <si>
    <t>$</t>
  </si>
  <si>
    <t xml:space="preserve">                                                                                                                                                                                        </t>
  </si>
  <si>
    <t>Saldos al inicio del ejercicio</t>
  </si>
  <si>
    <t>Reasignación Casa Matriz</t>
  </si>
  <si>
    <t>Ganancia (Pérdida) del ejercicio</t>
  </si>
  <si>
    <t>Total al  31/7/26</t>
  </si>
  <si>
    <t>Total al 31.12.05</t>
  </si>
  <si>
    <t>Las notas y anexos adjuntos forman parte integrante de los estados contables</t>
  </si>
  <si>
    <t>Informe profesional por separado</t>
  </si>
  <si>
    <t>NOTA 4:</t>
  </si>
  <si>
    <t>COMPOSICION DE LOS RUBROS</t>
  </si>
  <si>
    <t>ACTIVO</t>
  </si>
  <si>
    <t>Activo Corriente</t>
  </si>
  <si>
    <t>a.</t>
  </si>
  <si>
    <t>Caja y bancos</t>
  </si>
  <si>
    <t>- Caja</t>
  </si>
  <si>
    <t>- Fondo Fijo SENASA</t>
  </si>
  <si>
    <t xml:space="preserve">- Fondo Fijo </t>
  </si>
  <si>
    <t>- Banco Francés c/c</t>
  </si>
  <si>
    <t>- Fondo fijo Adelantos PDT</t>
  </si>
  <si>
    <t>- Adelanto casa matriz</t>
  </si>
  <si>
    <t>- Valores a depositar</t>
  </si>
  <si>
    <t>b.</t>
  </si>
  <si>
    <t>Inversiones temporarias</t>
  </si>
  <si>
    <t>- Fondo Común de inversión</t>
  </si>
  <si>
    <t>- Plazo Fijo</t>
  </si>
  <si>
    <t>- Intereses a dev Plazo Fijo</t>
  </si>
  <si>
    <t>c.</t>
  </si>
  <si>
    <t>Creditos por Ventas</t>
  </si>
  <si>
    <t>- Deudores por ventas</t>
  </si>
  <si>
    <t>Creditos impositivos</t>
  </si>
  <si>
    <t>- Retencion de Gcias.</t>
  </si>
  <si>
    <t>- Retenc. Suss</t>
  </si>
  <si>
    <t>- Reten. Ingresos Brutos</t>
  </si>
  <si>
    <t>- Retenciones y Percepciones IVA</t>
  </si>
  <si>
    <t>- Crédito ley 25413</t>
  </si>
  <si>
    <t>d.</t>
  </si>
  <si>
    <t>Otros créditos</t>
  </si>
  <si>
    <t>- Transportes Furlong Uruguay</t>
  </si>
  <si>
    <t>- Transportes Furlong Cordoba</t>
  </si>
  <si>
    <t>- Adelanto de gastos</t>
  </si>
  <si>
    <t>- Adelantos Tomás Furlong</t>
  </si>
  <si>
    <t>- Adelantos PDT</t>
  </si>
  <si>
    <t>- Adelanto honorarios CF</t>
  </si>
  <si>
    <t>- Anticipo de vacaciones</t>
  </si>
  <si>
    <t>- Prestamo Vera</t>
  </si>
  <si>
    <t>- Adelanto SAC</t>
  </si>
  <si>
    <t>- Prestamo Velasco</t>
  </si>
  <si>
    <t>- Prestamo Lorena Alves</t>
  </si>
  <si>
    <t>- Seguros a devengar</t>
  </si>
  <si>
    <t>- Anticipos de Vacaciones</t>
  </si>
  <si>
    <t>- Prestamo Cuba</t>
  </si>
  <si>
    <t>- Anticipo patentamientos</t>
  </si>
  <si>
    <t>- Donaciones</t>
  </si>
  <si>
    <t>- Seguros A Devengar</t>
  </si>
  <si>
    <t>- Adicional obral social</t>
  </si>
  <si>
    <t>- Honorarios Directores Tomas</t>
  </si>
  <si>
    <t>- Honorarios Directores</t>
  </si>
  <si>
    <t>31.03.04</t>
  </si>
  <si>
    <t>31.03.03</t>
  </si>
  <si>
    <t>Pasivo Corriente</t>
  </si>
  <si>
    <t>e.</t>
  </si>
  <si>
    <t>Deudas comerciales</t>
  </si>
  <si>
    <t>- Provisión Multas a pagar</t>
  </si>
  <si>
    <t>- Provisión fletes esporádicos</t>
  </si>
  <si>
    <t>- Previsiones</t>
  </si>
  <si>
    <t>- Proveedores</t>
  </si>
  <si>
    <t>- Adelanto de clientes</t>
  </si>
  <si>
    <t>- Siniestros a pagar</t>
  </si>
  <si>
    <t>- Prestamos a pagar</t>
  </si>
  <si>
    <t>- Prestamo Amx - Claro</t>
  </si>
  <si>
    <t>- Rodados a patentar</t>
  </si>
  <si>
    <t>- Cheques emitidos</t>
  </si>
  <si>
    <t>f.</t>
  </si>
  <si>
    <t>Otras Deudas</t>
  </si>
  <si>
    <t>- Acuerdos CNRT a pagar</t>
  </si>
  <si>
    <t>- Prestamo Carlos Furlong</t>
  </si>
  <si>
    <t>Remuneraciones y cs. Sociales</t>
  </si>
  <si>
    <t>- SUSS a pagar</t>
  </si>
  <si>
    <t>- Sueldos a pagar</t>
  </si>
  <si>
    <t>h.</t>
  </si>
  <si>
    <t>Cargas Fiscales</t>
  </si>
  <si>
    <t xml:space="preserve">- Plan Mis Facilidades  </t>
  </si>
  <si>
    <t>- Interes a devengar</t>
  </si>
  <si>
    <t>- SICORE a pagar</t>
  </si>
  <si>
    <t xml:space="preserve">                                                                                                           B  I  E  N E S        D  E          U  S  O</t>
  </si>
  <si>
    <t>VALOR DE ORIGEN</t>
  </si>
  <si>
    <t>DEPRECIACIONES</t>
  </si>
  <si>
    <t xml:space="preserve">VALORES AL </t>
  </si>
  <si>
    <t xml:space="preserve">ACUMULADAS </t>
  </si>
  <si>
    <t>DEL EJERCICIO</t>
  </si>
  <si>
    <t>ACUMULADAS</t>
  </si>
  <si>
    <t>NETO</t>
  </si>
  <si>
    <t xml:space="preserve">COMIENZO DEL </t>
  </si>
  <si>
    <t>AUMENTOS</t>
  </si>
  <si>
    <t>DISMINUCIONES</t>
  </si>
  <si>
    <t xml:space="preserve">CIERRE DEL </t>
  </si>
  <si>
    <t>AL INICIO DEL</t>
  </si>
  <si>
    <t>BAJAS</t>
  </si>
  <si>
    <t>ALICUOTA</t>
  </si>
  <si>
    <t>MONTO</t>
  </si>
  <si>
    <t xml:space="preserve">AL CIERRE DEL </t>
  </si>
  <si>
    <t>RESULTANTE</t>
  </si>
  <si>
    <t>EJERCICIO</t>
  </si>
  <si>
    <t>Software</t>
  </si>
  <si>
    <t>Hardware</t>
  </si>
  <si>
    <t>Computadoras</t>
  </si>
  <si>
    <t>Equipos</t>
  </si>
  <si>
    <t>Muebles y Utiles</t>
  </si>
  <si>
    <t>Instalaciones</t>
  </si>
  <si>
    <t>Rodados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</si>
  <si>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</si>
  <si>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</si>
  <si>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</si>
  <si>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</si>
  <si>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</si>
  <si>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</si>
  <si>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</si>
  <si>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</si>
  <si>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</si>
  <si>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GASTOS ADM CTRAL</t>
  </si>
  <si>
    <t>GASTOS PACHECO</t>
  </si>
  <si>
    <t>GASTOS CORDOBA</t>
  </si>
  <si>
    <t>COSTOS TRANSPORTES</t>
  </si>
  <si>
    <t>TOTAL</t>
  </si>
  <si>
    <t>PAGOS ANTIC</t>
  </si>
  <si>
    <t>TRANF CASA MATRIZ</t>
  </si>
  <si>
    <t>TOTAL EGRESO</t>
  </si>
  <si>
    <t>ADMINISTRACION</t>
  </si>
  <si>
    <t>COMERCIALIZACION</t>
  </si>
  <si>
    <t>FINANCIEROS</t>
  </si>
  <si>
    <t>31.03.02</t>
  </si>
  <si>
    <t>Acuerdo SECLO</t>
  </si>
  <si>
    <t>Adelanto Viaje</t>
  </si>
  <si>
    <t>Alquiler de autos</t>
  </si>
  <si>
    <t>Alquiler cochera</t>
  </si>
  <si>
    <t>Alquiler dpto.</t>
  </si>
  <si>
    <t>Alquiler fotocopiadora</t>
  </si>
  <si>
    <t>Alquiler Oficina Móvil</t>
  </si>
  <si>
    <t>Amortizaciones</t>
  </si>
  <si>
    <t>Publicidad</t>
  </si>
  <si>
    <t>Almuerzos</t>
  </si>
  <si>
    <t>Autónomos Directores</t>
  </si>
  <si>
    <t>Agua</t>
  </si>
  <si>
    <t>Ajuste saldo proveedores</t>
  </si>
  <si>
    <t>Bs Personales Acc. Y Participacion</t>
  </si>
  <si>
    <t>Sueldos</t>
  </si>
  <si>
    <t>Comisiones</t>
  </si>
  <si>
    <t>Gastos varios clientes</t>
  </si>
  <si>
    <t>Verificación Técnica Vehicular</t>
  </si>
  <si>
    <t>Accidentes</t>
  </si>
  <si>
    <t>OBRA SOCIAL</t>
  </si>
  <si>
    <t>ACA ES LA FACTURA QUE SE VA A PAGAR EL MES PRÓXIMO SE INCLUYE EN CARGAS SOCIALES (EN EL BALANCE)</t>
  </si>
  <si>
    <t>Cargas Sociales</t>
  </si>
  <si>
    <t>C SOCIALES</t>
  </si>
  <si>
    <t>CORRESPONDE AL MES DE MAYO / SE PAGA EN JUNIO</t>
  </si>
  <si>
    <t>Telefonos</t>
  </si>
  <si>
    <t>Librería</t>
  </si>
  <si>
    <t>Leasing</t>
  </si>
  <si>
    <t>ALQUILER</t>
  </si>
  <si>
    <t>Viaticos</t>
  </si>
  <si>
    <t>Repuestos y reparaciones</t>
  </si>
  <si>
    <t>Catering</t>
  </si>
  <si>
    <t>COMIDA</t>
  </si>
  <si>
    <t>CNRT</t>
  </si>
  <si>
    <t>MULTAS</t>
  </si>
  <si>
    <t>Gastos bancarios</t>
  </si>
  <si>
    <t>F. FIJOS FORD/VW/PTO 14</t>
  </si>
  <si>
    <t>SON FACTURAS DE COMBUSTIBLE / POR ESO SE SUMA EN COMBUSTIBLES</t>
  </si>
  <si>
    <t>Combustible</t>
  </si>
  <si>
    <t>COMBUSTIBLE</t>
  </si>
  <si>
    <t>Comunicaciones</t>
  </si>
  <si>
    <t>TELEFONOS</t>
  </si>
  <si>
    <t>HAY CARGADAS 2 FACTURAS VIEJAS DE NEXTEL QUE NO ESTABAN</t>
  </si>
  <si>
    <t>Correo</t>
  </si>
  <si>
    <t>Custodia</t>
  </si>
  <si>
    <t>Despachantes</t>
  </si>
  <si>
    <t>DESPACHANTES</t>
  </si>
  <si>
    <t>Donaciones</t>
  </si>
  <si>
    <t>Estadía</t>
  </si>
  <si>
    <t>Estacionamiento</t>
  </si>
  <si>
    <t>Estibajes</t>
  </si>
  <si>
    <t>ESTIBAJES</t>
  </si>
  <si>
    <t>Embargo Rdicación Vehicular</t>
  </si>
  <si>
    <t>Fletes</t>
  </si>
  <si>
    <t>TRANSPORTES</t>
  </si>
  <si>
    <t>ACA QUEDA LA DIFERENCIA DE PROVISION</t>
  </si>
  <si>
    <t>Gastos Capacitación</t>
  </si>
  <si>
    <t>Gastos Medicos</t>
  </si>
  <si>
    <t>Gastos de Representación</t>
  </si>
  <si>
    <t>TOMAS (FF Y VISA)</t>
  </si>
  <si>
    <t xml:space="preserve">Gastos Generales </t>
  </si>
  <si>
    <t>Gastos de instalación</t>
  </si>
  <si>
    <t>Gs Ropa de Trabajo</t>
  </si>
  <si>
    <t>Gastos trámites</t>
  </si>
  <si>
    <t>EN VARIOS</t>
  </si>
  <si>
    <t>Gastos PC</t>
  </si>
  <si>
    <t>EN MANTEN</t>
  </si>
  <si>
    <t>Gastos varios</t>
  </si>
  <si>
    <t>VARIOS</t>
  </si>
  <si>
    <t>Gastos varios personal</t>
  </si>
  <si>
    <t>Gastos y comisiones bancarias</t>
  </si>
  <si>
    <t>GASTOS BANCARIOS</t>
  </si>
  <si>
    <t>Gastos Obra Social</t>
  </si>
  <si>
    <t>Gastos Hotelería</t>
  </si>
  <si>
    <t>Gastos Gestoria</t>
  </si>
  <si>
    <t>Habilitaciones</t>
  </si>
  <si>
    <t>Honorarios director</t>
  </si>
  <si>
    <t>Honorarios profesionales</t>
  </si>
  <si>
    <t>HONORARIOS</t>
  </si>
  <si>
    <t>Honorarios Legales</t>
  </si>
  <si>
    <t>Imp. A los créditos</t>
  </si>
  <si>
    <t>Imp. A los débitos</t>
  </si>
  <si>
    <t>Imp. Bienes Sociedades</t>
  </si>
  <si>
    <t>IMPUESTOS</t>
  </si>
  <si>
    <t>Intereses resarcitorios</t>
  </si>
  <si>
    <t>Impuestos varios</t>
  </si>
  <si>
    <t>Impuestos al Cheuque</t>
  </si>
  <si>
    <t>Juicios</t>
  </si>
  <si>
    <t>LIBRERÍA</t>
  </si>
  <si>
    <t xml:space="preserve">SE REGISTRAN LAS FC X FECHA DE EMISION </t>
  </si>
  <si>
    <t>Legalizaciones</t>
  </si>
  <si>
    <t>LEGALIZACIONES</t>
  </si>
  <si>
    <t>Locomoción</t>
  </si>
  <si>
    <t>Logística</t>
  </si>
  <si>
    <t>Mantenimiento</t>
  </si>
  <si>
    <t>MANTENIMIENTO</t>
  </si>
  <si>
    <t>Mantenimiento de flota</t>
  </si>
  <si>
    <t>Mantenimiento de maquinas</t>
  </si>
  <si>
    <t>Mensajería</t>
  </si>
  <si>
    <t>MENSAJERIA</t>
  </si>
  <si>
    <t>Medicina Laboral</t>
  </si>
  <si>
    <t>Molilidad y viáticos</t>
  </si>
  <si>
    <t xml:space="preserve">Multas </t>
  </si>
  <si>
    <t>Gastos de logistica</t>
  </si>
  <si>
    <t>Patentes</t>
  </si>
  <si>
    <t>PATENTES</t>
  </si>
  <si>
    <t>SE PAGARAN EL MES PROXIMO</t>
  </si>
  <si>
    <t>Peajes</t>
  </si>
  <si>
    <t>Reparaciones</t>
  </si>
  <si>
    <t>Refrigerios</t>
  </si>
  <si>
    <t>FONDOS FIJOS</t>
  </si>
  <si>
    <t>Ropa de trabajo</t>
  </si>
  <si>
    <t>Seguros</t>
  </si>
  <si>
    <t>SEGUROS</t>
  </si>
  <si>
    <t>Seguridad</t>
  </si>
  <si>
    <t>ANTICIPOS</t>
  </si>
  <si>
    <t>Servicio de limpieza</t>
  </si>
  <si>
    <t>FUMIGACION</t>
  </si>
  <si>
    <t>Deudores Incobrables</t>
  </si>
  <si>
    <t>Sellados</t>
  </si>
  <si>
    <t>Siniestros</t>
  </si>
  <si>
    <t>SALARIOS</t>
  </si>
  <si>
    <t>ACA VA EL TOTAL DE LOS SUELDOS BRUTOS (EN PAGOS EL NETO)</t>
  </si>
  <si>
    <t>Salario Complementario del Decreto 332/20</t>
  </si>
  <si>
    <t>Verificación Policial</t>
  </si>
  <si>
    <t>Viajes y Estadías</t>
  </si>
  <si>
    <t>Redondeo</t>
  </si>
  <si>
    <t>Tasas AFIP</t>
  </si>
  <si>
    <t>Serv de Transporte y Almacenamiento</t>
  </si>
  <si>
    <t>Tasas SENASA</t>
  </si>
  <si>
    <t>SENASA</t>
  </si>
  <si>
    <t>ACA ES LA FACTURA QUE SE VA A PAGAR EL MES PRÓXIMO</t>
  </si>
  <si>
    <t>VIAJES</t>
  </si>
  <si>
    <t>MODIFICAR</t>
  </si>
  <si>
    <t>POR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</si>
</sst>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* #,##0.00_ ;_ * -#,##0.00_ ;_ * &quot;-&quot;??_ ;_ @_ "/>
    <numFmt numFmtId="165" formatCode="_-* #,##0.00_-;-* #,##0.00_-;_-* &quot;-&quot;??_-;_-@_-"/>
    <numFmt numFmtId="166" formatCode="#,##0.00_);(#,##0.00)"/>
    <numFmt numFmtId="167" formatCode="_-* #,##0.00 _€_-;-* #,##0.00 _€_-;_-* &quot;-&quot;?? _€_-;_-@_-"/>
    <numFmt numFmtId="168" formatCode="0.00000"/>
    <numFmt numFmtId="169" formatCode="dd/mm/yy;@"/>
    <numFmt numFmtId="170" formatCode="#,##0.00_ ;-#,##0.00 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z val="10"/>
      <name val="Arial"/>
    </font>
    <font>
      <sz val="10"/>
      <name val="Century Gothic"/>
    </font>
    <font>
      <family val="2"/>
      <sz val="9"/>
      <name val="Arial"/>
    </font>
    <font>
      <family val="1"/>
      <sz val="9"/>
      <name val="Bookman Old Style"/>
    </font>
    <font>
      <b/>
      <family val="1"/>
      <sz val="9"/>
      <name val="Bookman Old Style"/>
    </font>
    <font>
      <b/>
      <color indexed="8"/>
      <family val="2"/>
      <sz val="8"/>
      <name val="Arial"/>
    </font>
    <font>
      <color theme="1"/>
      <family val="2"/>
      <sz val="10"/>
      <name val="Century Gothic"/>
    </font>
    <font>
      <b/>
      <family val="2"/>
      <sz val="12"/>
      <name val="Arial"/>
    </font>
    <font>
      <family val="1"/>
      <sz val="10"/>
      <name val="Bookman Old Style"/>
    </font>
    <font>
      <b/>
      <family val="1"/>
      <sz val="10"/>
      <name val="Bookman Old Style"/>
    </font>
    <font>
      <b/>
      <family val="1"/>
      <sz val="12"/>
      <name val="Bookman Old Style"/>
    </font>
    <font>
      <family val="2"/>
      <sz val="8"/>
      <name val="Arial"/>
    </font>
    <font>
      <b/>
      <family val="2"/>
      <sz val="8"/>
      <name val="Arial"/>
    </font>
    <font>
      <u/>
      <family val="2"/>
      <sz val="8"/>
      <name val="Arial"/>
    </font>
    <font>
      <color indexed="8"/>
      <family val="2"/>
      <sz val="8"/>
      <name val="Arial"/>
    </font>
    <font>
      <family val="1"/>
      <sz val="8"/>
      <name val="Bookman Old Style"/>
    </font>
    <font>
      <color indexed="10"/>
      <family val="1"/>
      <sz val="10"/>
      <name val="Bookman Old Style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horizontal="center"/>
    </xf>
    <xf numFmtId="9" fontId="3" fillId="0" borderId="0" xfId="0" applyNumberFormat="1" applyFont="1"/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4" fontId="5" fillId="0" borderId="9" xfId="0" applyNumberFormat="1" applyFont="1" applyBorder="1"/>
    <xf numFmtId="0" fontId="6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4" fontId="5" fillId="0" borderId="7" xfId="0" applyNumberFormat="1" applyFont="1" applyBorder="1"/>
    <xf numFmtId="4" fontId="5" fillId="0" borderId="8" xfId="0" applyNumberFormat="1" applyFont="1" applyBorder="1"/>
    <xf numFmtId="4" fontId="5" fillId="0" borderId="0" xfId="0" applyNumberFormat="1" applyFont="1"/>
    <xf numFmtId="164" fontId="5" fillId="0" borderId="0" xfId="0" applyNumberFormat="1" applyFont="1"/>
    <xf numFmtId="4" fontId="5" fillId="0" borderId="13" xfId="0" applyNumberFormat="1" applyFont="1" applyBorder="1"/>
    <xf numFmtId="4" fontId="5" fillId="0" borderId="14" xfId="0" applyNumberFormat="1" applyFont="1" applyBorder="1"/>
    <xf numFmtId="164" fontId="4" fillId="0" borderId="0" xfId="0" applyNumberFormat="1" applyFont="1"/>
    <xf numFmtId="4" fontId="5" fillId="0" borderId="15" xfId="0" applyNumberFormat="1" applyFont="1" applyBorder="1"/>
    <xf numFmtId="4" fontId="5" fillId="0" borderId="11" xfId="0" applyNumberFormat="1" applyFont="1" applyBorder="1"/>
    <xf numFmtId="4" fontId="5" fillId="0" borderId="9" xfId="0" applyNumberFormat="1" applyFont="1" applyBorder="1"/>
    <xf numFmtId="4" fontId="7" fillId="0" borderId="0" xfId="0" applyNumberFormat="1" applyFont="1" applyAlignment="1">
      <alignment vertical="top"/>
    </xf>
    <xf numFmtId="167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6" fillId="0" borderId="17" xfId="0" applyFont="1" applyBorder="1"/>
    <xf numFmtId="4" fontId="5" fillId="0" borderId="18" xfId="0" applyNumberFormat="1" applyFont="1" applyBorder="1"/>
    <xf numFmtId="4" fontId="5" fillId="0" borderId="19" xfId="0" applyNumberFormat="1" applyFont="1" applyBorder="1"/>
    <xf numFmtId="0" fontId="5" fillId="0" borderId="20" xfId="0" applyFont="1" applyBorder="1"/>
    <xf numFmtId="165" fontId="5" fillId="0" borderId="0" xfId="0" applyNumberFormat="1" applyFont="1"/>
    <xf numFmtId="4" fontId="4" fillId="0" borderId="0" xfId="0" applyNumberFormat="1" applyFont="1"/>
    <xf numFmtId="4" fontId="3" fillId="0" borderId="0" xfId="0" applyNumberFormat="1" applyFont="1"/>
    <xf numFmtId="2" fontId="3" fillId="0" borderId="0" xfId="0" applyNumberFormat="1" applyFont="1"/>
    <xf numFmtId="164" fontId="8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0" fontId="3" fillId="0" borderId="5" xfId="0" applyFont="1" applyBorder="1"/>
    <xf numFmtId="14" fontId="3" fillId="0" borderId="9" xfId="0" applyNumberFormat="1" applyFont="1" applyBorder="1"/>
    <xf numFmtId="0" fontId="3" fillId="0" borderId="12" xfId="0" applyFont="1" applyBorder="1"/>
    <xf numFmtId="0" fontId="3" fillId="0" borderId="9" xfId="0" applyFont="1" applyBorder="1"/>
    <xf numFmtId="4" fontId="3" fillId="0" borderId="9" xfId="0" applyNumberFormat="1" applyFont="1" applyBorder="1"/>
    <xf numFmtId="164" fontId="5" fillId="0" borderId="8" xfId="0" applyNumberFormat="1" applyFont="1" applyBorder="1"/>
    <xf numFmtId="164" fontId="5" fillId="0" borderId="19" xfId="0" applyNumberFormat="1" applyFont="1" applyBorder="1"/>
    <xf numFmtId="0" fontId="3" fillId="0" borderId="20" xfId="0" applyFont="1" applyBorder="1"/>
    <xf numFmtId="4" fontId="7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0" fillId="0" borderId="22" xfId="0" applyNumberFormat="1" applyFont="1" applyBorder="1" applyAlignment="1">
      <alignment horizontal="center"/>
    </xf>
    <xf numFmtId="14" fontId="10" fillId="0" borderId="23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/>
    <xf numFmtId="0" fontId="10" fillId="0" borderId="27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4" fontId="10" fillId="0" borderId="7" xfId="0" applyNumberFormat="1" applyFont="1" applyBorder="1"/>
    <xf numFmtId="4" fontId="10" fillId="0" borderId="8" xfId="0" applyNumberFormat="1" applyFont="1" applyBorder="1"/>
    <xf numFmtId="4" fontId="10" fillId="0" borderId="9" xfId="0" applyNumberFormat="1" applyFont="1" applyBorder="1"/>
    <xf numFmtId="4" fontId="10" fillId="0" borderId="29" xfId="0" applyNumberFormat="1" applyFont="1" applyBorder="1"/>
    <xf numFmtId="4" fontId="10" fillId="0" borderId="30" xfId="0" applyNumberFormat="1" applyFont="1" applyBorder="1"/>
    <xf numFmtId="4" fontId="10" fillId="0" borderId="31" xfId="0" applyNumberFormat="1" applyFont="1" applyBorder="1"/>
    <xf numFmtId="0" fontId="10" fillId="0" borderId="16" xfId="0" applyFont="1" applyBorder="1"/>
    <xf numFmtId="0" fontId="10" fillId="0" borderId="32" xfId="0" applyFont="1" applyBorder="1"/>
    <xf numFmtId="4" fontId="10" fillId="0" borderId="33" xfId="0" applyNumberFormat="1" applyFont="1" applyBorder="1"/>
    <xf numFmtId="0" fontId="10" fillId="0" borderId="17" xfId="0" applyFont="1" applyBorder="1"/>
    <xf numFmtId="164" fontId="10" fillId="0" borderId="18" xfId="0" applyNumberFormat="1" applyFont="1" applyBorder="1"/>
    <xf numFmtId="2" fontId="10" fillId="0" borderId="18" xfId="0" applyNumberFormat="1" applyFont="1" applyBorder="1"/>
    <xf numFmtId="164" fontId="10" fillId="0" borderId="34" xfId="0" applyNumberFormat="1" applyFont="1" applyBorder="1"/>
    <xf numFmtId="164" fontId="10" fillId="0" borderId="19" xfId="0" applyNumberFormat="1" applyFont="1" applyBorder="1"/>
    <xf numFmtId="4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168" fontId="10" fillId="0" borderId="0" xfId="0" applyNumberFormat="1" applyFont="1"/>
    <xf numFmtId="0" fontId="12" fillId="0" borderId="0" xfId="0" applyFont="1"/>
    <xf numFmtId="0" fontId="13" fillId="0" borderId="0" xfId="0" applyFont="1"/>
    <xf numFmtId="169" fontId="13" fillId="0" borderId="35" xfId="0" applyNumberFormat="1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169" fontId="10" fillId="0" borderId="35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4" fontId="13" fillId="0" borderId="0" xfId="0" applyNumberFormat="1" applyFont="1"/>
    <xf numFmtId="4" fontId="13" fillId="0" borderId="36" xfId="0" applyNumberFormat="1" applyFont="1" applyBorder="1"/>
    <xf numFmtId="4" fontId="13" fillId="0" borderId="35" xfId="0" applyNumberFormat="1" applyFont="1" applyBorder="1"/>
    <xf numFmtId="14" fontId="13" fillId="0" borderId="35" xfId="0" applyNumberFormat="1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14" fontId="13" fillId="0" borderId="35" xfId="0" applyNumberFormat="1" applyFont="1" applyBorder="1"/>
    <xf numFmtId="170" fontId="13" fillId="0" borderId="0" xfId="0" applyNumberFormat="1" applyFont="1"/>
    <xf numFmtId="0" fontId="13" fillId="0" borderId="1" xfId="0" applyFont="1" applyBorder="1"/>
    <xf numFmtId="0" fontId="13" fillId="0" borderId="2" xfId="0" applyFont="1" applyBorder="1"/>
    <xf numFmtId="164" fontId="13" fillId="0" borderId="2" xfId="0" applyNumberFormat="1" applyFont="1" applyBorder="1"/>
    <xf numFmtId="0" fontId="13" fillId="0" borderId="5" xfId="0" applyFont="1" applyBorder="1"/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6" xfId="0" applyFont="1" applyBorder="1"/>
    <xf numFmtId="164" fontId="13" fillId="0" borderId="0" xfId="0" applyNumberFormat="1" applyFont="1"/>
    <xf numFmtId="0" fontId="13" fillId="0" borderId="9" xfId="0" applyFont="1" applyBorder="1"/>
    <xf numFmtId="0" fontId="13" fillId="0" borderId="28" xfId="0" applyFont="1" applyBorder="1"/>
    <xf numFmtId="0" fontId="13" fillId="0" borderId="35" xfId="0" applyFont="1" applyBorder="1"/>
    <xf numFmtId="164" fontId="13" fillId="0" borderId="35" xfId="0" applyNumberFormat="1" applyFont="1" applyBorder="1"/>
    <xf numFmtId="0" fontId="13" fillId="0" borderId="12" xfId="0" applyFont="1" applyBorder="1"/>
    <xf numFmtId="0" fontId="13" fillId="0" borderId="37" xfId="0" applyFont="1" applyBorder="1"/>
    <xf numFmtId="0" fontId="13" fillId="0" borderId="27" xfId="0" applyFont="1" applyBorder="1" applyAlignment="1">
      <alignment horizontal="center"/>
    </xf>
    <xf numFmtId="164" fontId="13" fillId="0" borderId="27" xfId="0" applyNumberFormat="1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/>
    <xf numFmtId="0" fontId="13" fillId="0" borderId="7" xfId="0" applyFont="1" applyBorder="1" applyAlignment="1">
      <alignment horizontal="center"/>
    </xf>
    <xf numFmtId="164" fontId="13" fillId="0" borderId="7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0" fontId="13" fillId="0" borderId="43" xfId="0" applyFont="1" applyBorder="1"/>
    <xf numFmtId="0" fontId="13" fillId="0" borderId="10" xfId="0" applyFont="1" applyBorder="1"/>
    <xf numFmtId="164" fontId="13" fillId="0" borderId="10" xfId="0" applyNumberFormat="1" applyFont="1" applyBorder="1"/>
    <xf numFmtId="0" fontId="13" fillId="0" borderId="11" xfId="0" applyFont="1" applyBorder="1"/>
    <xf numFmtId="4" fontId="13" fillId="0" borderId="7" xfId="0" applyNumberFormat="1" applyFont="1" applyBorder="1"/>
    <xf numFmtId="2" fontId="13" fillId="0" borderId="7" xfId="0" applyNumberFormat="1" applyFont="1" applyBorder="1"/>
    <xf numFmtId="164" fontId="13" fillId="0" borderId="7" xfId="0" applyNumberFormat="1" applyFont="1" applyBorder="1"/>
    <xf numFmtId="0" fontId="13" fillId="0" borderId="7" xfId="0" applyFont="1" applyBorder="1"/>
    <xf numFmtId="9" fontId="13" fillId="0" borderId="7" xfId="0" applyNumberFormat="1" applyFont="1" applyBorder="1" applyAlignment="1">
      <alignment horizontal="center"/>
    </xf>
    <xf numFmtId="4" fontId="13" fillId="0" borderId="8" xfId="0" applyNumberFormat="1" applyFont="1" applyBorder="1"/>
    <xf numFmtId="166" fontId="16" fillId="0" borderId="0" xfId="0" applyNumberFormat="1" applyFont="1" applyAlignment="1">
      <alignment vertical="top"/>
    </xf>
    <xf numFmtId="2" fontId="13" fillId="0" borderId="10" xfId="0" applyNumberFormat="1" applyFont="1" applyBorder="1"/>
    <xf numFmtId="4" fontId="13" fillId="0" borderId="10" xfId="0" applyNumberFormat="1" applyFont="1" applyBorder="1"/>
    <xf numFmtId="9" fontId="13" fillId="0" borderId="10" xfId="0" applyNumberFormat="1" applyFont="1" applyBorder="1" applyAlignment="1">
      <alignment horizontal="center"/>
    </xf>
    <xf numFmtId="4" fontId="13" fillId="0" borderId="11" xfId="0" applyNumberFormat="1" applyFont="1" applyBorder="1"/>
    <xf numFmtId="0" fontId="13" fillId="0" borderId="44" xfId="0" applyFont="1" applyBorder="1"/>
    <xf numFmtId="4" fontId="13" fillId="0" borderId="29" xfId="0" applyNumberFormat="1" applyFont="1" applyBorder="1"/>
    <xf numFmtId="2" fontId="13" fillId="0" borderId="18" xfId="0" applyNumberFormat="1" applyFont="1" applyBorder="1"/>
    <xf numFmtId="164" fontId="13" fillId="0" borderId="29" xfId="0" applyNumberFormat="1" applyFont="1" applyBorder="1"/>
    <xf numFmtId="4" fontId="13" fillId="0" borderId="18" xfId="0" applyNumberFormat="1" applyFont="1" applyBorder="1"/>
    <xf numFmtId="4" fontId="13" fillId="0" borderId="19" xfId="0" applyNumberFormat="1" applyFont="1" applyBorder="1"/>
    <xf numFmtId="2" fontId="13" fillId="0" borderId="0" xfId="0" applyNumberFormat="1" applyFont="1"/>
    <xf numFmtId="164" fontId="13" fillId="0" borderId="0" xfId="0" applyNumberFormat="1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0" fillId="0" borderId="45" xfId="0" applyFont="1" applyBorder="1"/>
    <xf numFmtId="0" fontId="10" fillId="0" borderId="46" xfId="0" applyFont="1" applyBorder="1" applyAlignment="1">
      <alignment horizontal="center" wrapText="1"/>
    </xf>
    <xf numFmtId="0" fontId="10" fillId="0" borderId="47" xfId="0" applyFont="1" applyBorder="1" applyAlignment="1">
      <alignment horizontal="center" wrapText="1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0" fontId="10" fillId="0" borderId="48" xfId="0" applyFont="1" applyBorder="1"/>
    <xf numFmtId="0" fontId="10" fillId="0" borderId="49" xfId="0" applyFont="1" applyBorder="1" applyAlignment="1">
      <alignment horizontal="center" wrapText="1"/>
    </xf>
    <xf numFmtId="0" fontId="10" fillId="0" borderId="50" xfId="0" applyFont="1" applyBorder="1" applyAlignment="1">
      <alignment horizontal="center" wrapText="1"/>
    </xf>
    <xf numFmtId="4" fontId="13" fillId="0" borderId="7" xfId="0" applyNumberFormat="1" applyFont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14" fontId="10" fillId="0" borderId="9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2" fontId="13" fillId="0" borderId="7" xfId="0" applyNumberFormat="1" applyFont="1" applyBorder="1" applyAlignment="1">
      <alignment horizontal="right"/>
    </xf>
    <xf numFmtId="0" fontId="10" fillId="0" borderId="13" xfId="0" applyFont="1" applyBorder="1"/>
    <xf numFmtId="164" fontId="10" fillId="0" borderId="13" xfId="0" applyNumberFormat="1" applyFont="1" applyBorder="1"/>
    <xf numFmtId="0" fontId="10" fillId="0" borderId="10" xfId="0" applyFont="1" applyBorder="1"/>
    <xf numFmtId="164" fontId="10" fillId="0" borderId="10" xfId="0" applyNumberFormat="1" applyFont="1" applyBorder="1"/>
    <xf numFmtId="0" fontId="10" fillId="0" borderId="51" xfId="0" applyFont="1" applyBorder="1"/>
    <xf numFmtId="164" fontId="10" fillId="0" borderId="52" xfId="0" applyNumberFormat="1" applyFont="1" applyBorder="1"/>
    <xf numFmtId="14" fontId="10" fillId="0" borderId="0" xfId="0" applyNumberFormat="1" applyFont="1" applyAlignment="1">
      <alignment horizontal="center"/>
    </xf>
    <xf numFmtId="164" fontId="10" fillId="0" borderId="7" xfId="0" applyNumberFormat="1" applyFont="1" applyBorder="1"/>
    <xf numFmtId="0" fontId="10" fillId="0" borderId="53" xfId="0" applyFont="1" applyBorder="1"/>
    <xf numFmtId="164" fontId="10" fillId="0" borderId="53" xfId="0" applyNumberFormat="1" applyFont="1" applyBorder="1"/>
    <xf numFmtId="164" fontId="10" fillId="0" borderId="54" xfId="0" applyNumberFormat="1" applyFont="1" applyBorder="1"/>
    <xf numFmtId="4" fontId="13" fillId="0" borderId="8" xfId="0" applyNumberFormat="1" applyFont="1" applyBorder="1" applyAlignment="1">
      <alignment horizontal="right"/>
    </xf>
    <xf numFmtId="164" fontId="10" fillId="0" borderId="55" xfId="0" applyNumberFormat="1" applyFont="1" applyBorder="1"/>
    <xf numFmtId="4" fontId="10" fillId="0" borderId="53" xfId="0" applyNumberFormat="1" applyFont="1" applyBorder="1"/>
    <xf numFmtId="0" fontId="17" fillId="0" borderId="0" xfId="0" applyFont="1"/>
    <xf numFmtId="0" fontId="13" fillId="0" borderId="56" xfId="0" applyFont="1" applyBorder="1"/>
    <xf numFmtId="0" fontId="13" fillId="0" borderId="39" xfId="0" applyFont="1" applyBorder="1"/>
    <xf numFmtId="4" fontId="13" fillId="0" borderId="13" xfId="0" applyNumberFormat="1" applyFont="1" applyBorder="1" applyAlignment="1">
      <alignment horizontal="right"/>
    </xf>
    <xf numFmtId="4" fontId="13" fillId="0" borderId="14" xfId="0" applyNumberFormat="1" applyFont="1" applyBorder="1" applyAlignment="1">
      <alignment horizontal="right"/>
    </xf>
    <xf numFmtId="164" fontId="10" fillId="0" borderId="48" xfId="0" applyNumberFormat="1" applyFont="1" applyBorder="1"/>
    <xf numFmtId="164" fontId="10" fillId="0" borderId="57" xfId="0" applyNumberFormat="1" applyFont="1" applyBorder="1"/>
    <xf numFmtId="4" fontId="10" fillId="0" borderId="18" xfId="0" applyNumberFormat="1" applyFont="1" applyBorder="1"/>
    <xf numFmtId="4" fontId="10" fillId="0" borderId="19" xfId="0" applyNumberFormat="1" applyFont="1" applyBorder="1"/>
    <xf numFmtId="0" fontId="18" fillId="0" borderId="0" xfId="0" applyFont="1"/>
    <xf numFmtId="4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5"/>
  <sheetViews>
    <sheetView workbookViewId="0" zoomScale="100" zoomScaleNormal="100"/>
  </sheetViews>
  <sheetFormatPr defaultRowHeight="0" outlineLevelRow="0" outlineLevelCol="0" x14ac:dyDescent="0" customHeight="1"/>
  <cols>
    <col min="2" max="2" width="49" customWidth="1"/>
    <col min="3" max="3" width="16.33203125" customWidth="1"/>
    <col min="4" max="4" width="14.44140625" customWidth="1"/>
    <col min="5" max="5" width="11.44140625" customWidth="1"/>
    <col min="6" max="6" width="20" customWidth="1"/>
    <col min="7" max="7" width="11.88671875" customWidth="1"/>
    <col min="8" max="8" width="13.88671875" customWidth="1"/>
    <col min="9" max="9" width="12.6640625" customWidth="1"/>
    <col min="10" max="10" width="13.33203125" customWidth="1"/>
    <col min="11" max="257" width="9.109375" customWidth="1"/>
  </cols>
  <sheetData>
    <row r="1" spans="2:2" x14ac:dyDescent="0.25">
      <c r="B1" t="s">
        <v>0</v>
      </c>
    </row>
    <row r="2" spans="2:7" x14ac:dyDescent="0.25">
      <c r="B2" t="s">
        <v>1</v>
      </c>
      <c r="F2" t="s">
        <v>2</v>
      </c>
      <c r="G2" s="1">
        <v>293.17575</v>
      </c>
    </row>
    <row r="3" spans="3:5" x14ac:dyDescent="0.25">
      <c r="C3" s="2" t="s">
        <v>3</v>
      </c>
      <c r="D3" s="2" t="s">
        <v>4</v>
      </c>
      <c r="E3" s="2" t="s">
        <v>5</v>
      </c>
    </row>
    <row r="5" spans="2:2" x14ac:dyDescent="0.25">
      <c r="B5" t="s">
        <v>6</v>
      </c>
    </row>
    <row r="7" spans="2:5" x14ac:dyDescent="0.25">
      <c r="B7" t="s">
        <v>7</v>
      </c>
      <c r="C7" s="2">
        <f>IF(E7&gt;0,E7,0)</f>
        <v>0</v>
      </c>
      <c r="D7" s="2">
        <f>IF(E7&lt;0,E7*-1,0)</f>
        <v>904.9543669546964</v>
      </c>
      <c r="E7" s="2">
        <f>IFERROR(VLOOKUP(B7,$B$229:$C$286,2,FALSE),0)</f>
        <v>-904.9543669546964</v>
      </c>
    </row>
    <row r="8" hidden="1" spans="2:5" x14ac:dyDescent="0.25">
      <c r="B8" t="s">
        <v>8</v>
      </c>
      <c r="C8" s="2">
        <f>IF(E8&gt;0,E8,0)</f>
        <v>0</v>
      </c>
      <c r="D8" s="2">
        <f>IF(E8&lt;0,E8*-1,0)</f>
        <v>0</v>
      </c>
      <c r="E8" s="2">
        <f>IFERROR(VLOOKUP(B8,$B$229:$C$286,2,FALSE),0)</f>
      </c>
    </row>
    <row r="9" spans="2:5" x14ac:dyDescent="0.25">
      <c r="B9" t="s">
        <v>9</v>
      </c>
      <c r="C9" s="2">
        <f>IF(E9&gt;0,E9,0)</f>
        <v>0</v>
      </c>
      <c r="D9" s="2">
        <f>IF(E9&lt;0,E9*-1,0)</f>
        <v>85668.93436256825</v>
      </c>
      <c r="E9" s="2">
        <f>IFERROR(VLOOKUP(B9,$B$229:$C$286,2,FALSE),0)</f>
        <v>-85668.93436256825</v>
      </c>
    </row>
    <row r="10" hidden="1" spans="2:5" x14ac:dyDescent="0.25">
      <c r="B10" t="s">
        <v>10</v>
      </c>
      <c r="C10" s="2">
        <f>IF(E10&gt;0,E10,0)</f>
        <v>0</v>
      </c>
      <c r="D10" s="2">
        <f>IF(E10&lt;0,E10*-1,0)</f>
        <v>0</v>
      </c>
      <c r="E10" s="2">
        <f>IFERROR(VLOOKUP(B10,$B$229:$C$286,2,FALSE),0)</f>
      </c>
    </row>
    <row r="11" spans="2:5" x14ac:dyDescent="0.25">
      <c r="B11" t="s">
        <v>11</v>
      </c>
      <c r="C11" s="2">
        <f>IF(E11&gt;0,E11,0)</f>
        <v>0</v>
      </c>
      <c r="D11" s="2">
        <f>IF(E11&lt;0,E11*-1,0)</f>
        <v>2183.6621861907383</v>
      </c>
      <c r="E11" s="2">
        <f>IFERROR(VLOOKUP(B11,$B$229:$C$286,2,FALSE),0)</f>
        <v>-2183.6621861907383</v>
      </c>
    </row>
    <row r="12" spans="2:5" x14ac:dyDescent="0.25">
      <c r="B12" t="s">
        <v>12</v>
      </c>
      <c r="C12" s="2">
        <f>IF(E12&gt;0,E12,0)</f>
        <v>0</v>
      </c>
      <c r="D12" s="2">
        <f>IF(E12&lt;0,E12*-1,0)</f>
        <v>338665.60591481486</v>
      </c>
      <c r="E12" s="2">
        <f>IFERROR(VLOOKUP(B12,$B$229:$C$286,2,FALSE),0)</f>
        <v>-338665.60591481486</v>
      </c>
    </row>
    <row r="13" hidden="1" spans="2:5" x14ac:dyDescent="0.25">
      <c r="B13" t="s">
        <v>13</v>
      </c>
      <c r="C13" s="2">
        <f>IF(E13&gt;0,E13,0)</f>
        <v>0</v>
      </c>
      <c r="D13" s="2">
        <f>IF(E13&lt;0,E13*-1,0)</f>
        <v>0</v>
      </c>
      <c r="E13" s="2">
        <f>IFERROR(VLOOKUP(B13,$B$229:$C$286,2,FALSE),0)</f>
      </c>
    </row>
    <row r="14" spans="2:5" x14ac:dyDescent="0.25">
      <c r="B14" t="s">
        <v>14</v>
      </c>
      <c r="C14" s="2">
        <f>IF(E14&gt;0,E14,0)</f>
        <v>1039.325837714381</v>
      </c>
      <c r="D14" s="2">
        <f>IF(E14&lt;0,E14*-1,0)</f>
        <v>0</v>
      </c>
      <c r="E14" s="2">
        <f>IFERROR(VLOOKUP(B14,$B$229:$C$286,2,FALSE),0)</f>
        <v>1039.325837714381</v>
      </c>
    </row>
    <row r="15" hidden="1" spans="2:5" x14ac:dyDescent="0.25">
      <c r="B15" t="s">
        <v>15</v>
      </c>
      <c r="C15" s="2">
        <f>IF(E15&gt;0,E15,0)</f>
        <v>0</v>
      </c>
      <c r="D15" s="2">
        <f>IF(E15&lt;0,E15*-1,0)</f>
        <v>0</v>
      </c>
      <c r="E15" s="2">
        <f>IFERROR(VLOOKUP(B15,$B$229:$C$286,2,FALSE),0)</f>
      </c>
    </row>
    <row r="16" spans="2:5" x14ac:dyDescent="0.25">
      <c r="B16" t="s">
        <v>16</v>
      </c>
      <c r="C16" s="2">
        <f>IF(E16&gt;0,E16,0)</f>
        <v>0</v>
      </c>
      <c r="D16" s="2">
        <f>IF(E16&lt;0,E16*-1,0)</f>
        <v>371.40424666846536</v>
      </c>
      <c r="E16" s="2">
        <f>IFERROR(VLOOKUP(B16,$B$229:$C$286,2,FALSE),0)</f>
        <v>-371.40424666846536</v>
      </c>
    </row>
    <row r="17" spans="2:5" x14ac:dyDescent="0.25">
      <c r="B17" t="s">
        <v>17</v>
      </c>
      <c r="C17" s="2">
        <f>IF(E17&gt;0,E17,0)</f>
        <v>0</v>
      </c>
      <c r="D17" s="2">
        <f>IF(E17&lt;0,E17*-1,0)</f>
        <v>655.718192196693</v>
      </c>
      <c r="E17" s="2">
        <f>IFERROR(VLOOKUP(B17,$B$229:$C$286,2,FALSE),0)</f>
        <v>-655.718192196693</v>
      </c>
    </row>
    <row r="18" spans="2:5" x14ac:dyDescent="0.25">
      <c r="B18" t="s">
        <v>18</v>
      </c>
      <c r="C18" s="2">
        <f>IF(E18&gt;0,E18,0)</f>
        <v>14061.316405145448</v>
      </c>
      <c r="D18" s="2">
        <f>IF(E18&lt;0,E18*-1,0)</f>
        <v>0</v>
      </c>
      <c r="E18" s="2">
        <f>IFERROR(VLOOKUP(B18,$B$229:$C$286,2,FALSE),0)</f>
        <v>14061.316405145448</v>
      </c>
    </row>
    <row r="19" hidden="1" spans="2:5" x14ac:dyDescent="0.25">
      <c r="B19" t="s">
        <v>19</v>
      </c>
      <c r="C19" s="2">
        <f>IF(E19&gt;0,E19,0)</f>
        <v>0</v>
      </c>
      <c r="D19" s="2">
        <f>IF(E19&lt;0,E19*-1,0)</f>
        <v>0</v>
      </c>
      <c r="E19" s="2">
        <f>IFERROR(VLOOKUP(B19,$B$229:$C$286,2,FALSE),0)</f>
      </c>
    </row>
    <row r="20" spans="2:5" x14ac:dyDescent="0.25">
      <c r="B20" t="s">
        <v>20</v>
      </c>
      <c r="C20" s="2">
        <f>IF(E20&gt;0,E20,0)</f>
        <v>5457.478228925522</v>
      </c>
      <c r="D20" s="2">
        <f>IF(E20&lt;0,E20*-1,0)</f>
        <v>0</v>
      </c>
      <c r="E20" s="2">
        <f>IFERROR(VLOOKUP(B20,$B$229:$C$286,2,FALSE),0)</f>
        <v>5457.478228925522</v>
      </c>
    </row>
    <row r="21" spans="2:5" x14ac:dyDescent="0.25">
      <c r="B21" t="s">
        <v>21</v>
      </c>
      <c r="C21" s="2">
        <f>IF(E21&gt;0,E21,0)</f>
        <v>0</v>
      </c>
      <c r="D21" s="2">
        <f>IF(E21&lt;0,E21*-1,0)</f>
        <v>170.54619465392256</v>
      </c>
      <c r="E21" s="2">
        <f>IFERROR(VLOOKUP(B21,$B$229:$C$286,2,FALSE),0)</f>
        <v>-170.54619465392256</v>
      </c>
    </row>
    <row r="22" hidden="1" spans="2:5" x14ac:dyDescent="0.25">
      <c r="B22" t="s">
        <v>22</v>
      </c>
      <c r="C22" s="2">
        <f>IF(E22&gt;0,E22,0)</f>
        <v>0</v>
      </c>
      <c r="D22" s="2">
        <f>IF(E22&lt;0,E22*-1,0)</f>
        <v>0</v>
      </c>
      <c r="E22" s="2">
        <f>IFERROR(VLOOKUP(B22,$B$229:$C$286,2,FALSE),0)</f>
      </c>
    </row>
    <row r="23" spans="2:5" x14ac:dyDescent="0.25">
      <c r="B23" t="s">
        <v>23</v>
      </c>
      <c r="C23" s="2">
        <f>IF(E23&gt;0,E23,0)</f>
        <v>0</v>
      </c>
      <c r="D23" s="2">
        <f>IF(E23&lt;0,E23*-1,0)</f>
        <v>682.1847786156902</v>
      </c>
      <c r="E23" s="2">
        <f>IFERROR(VLOOKUP(B23,$B$229:$C$286,2,FALSE),0)</f>
        <v>-682.1847786156902</v>
      </c>
    </row>
    <row r="24" hidden="1" spans="2:5" x14ac:dyDescent="0.25">
      <c r="B24" t="s">
        <v>24</v>
      </c>
      <c r="C24" s="2">
        <f>IF(E24&gt;0,E24,0)</f>
        <v>0</v>
      </c>
      <c r="D24" s="2">
        <f>IF(E24&lt;0,E24*-1,0)</f>
        <v>0</v>
      </c>
      <c r="E24" s="2">
        <f>IFERROR(VLOOKUP(B24,$B$229:$C$286,2,FALSE),0)</f>
      </c>
    </row>
    <row r="25" spans="2:5" x14ac:dyDescent="0.25">
      <c r="B25" t="s">
        <v>25</v>
      </c>
      <c r="C25" s="2">
        <f>IF(E25&gt;0,E25,0)</f>
        <v>0</v>
      </c>
      <c r="D25" s="2">
        <f>IF(E25&lt;0,E25*-1,0)</f>
        <v>28254.30057811749</v>
      </c>
      <c r="E25" s="2">
        <f>IFERROR(VLOOKUP(B25,$B$229:$C$286,2,FALSE),0)</f>
        <v>-28254.30057811749</v>
      </c>
    </row>
    <row r="26" spans="2:5" x14ac:dyDescent="0.25">
      <c r="B26" t="s">
        <v>26</v>
      </c>
      <c r="C26" s="2">
        <f>IF(E26&gt;0,E26,0)</f>
        <v>0</v>
      </c>
      <c r="D26" s="2">
        <f>IF(E26&lt;0,E26*-1,0)</f>
        <v>3.2783412813544914</v>
      </c>
      <c r="E26" s="2">
        <f>IFERROR(VLOOKUP(B26,$B$229:$C$286,2,FALSE),0)</f>
        <v>-3.2783412813544914</v>
      </c>
    </row>
    <row r="27" hidden="1" spans="2:5" x14ac:dyDescent="0.25">
      <c r="B27" t="s">
        <v>27</v>
      </c>
      <c r="C27" s="2">
        <f>IF(E27&gt;0,E27,0)</f>
        <v>0</v>
      </c>
      <c r="D27" s="2">
        <f>IF(E27&lt;0,E27*-1,0)</f>
        <v>0</v>
      </c>
      <c r="E27" s="2">
        <f>IFERROR(VLOOKUP(B27,$B$229:$C$286,2,FALSE),0)</f>
      </c>
    </row>
    <row r="28" spans="2:5" x14ac:dyDescent="0.25">
      <c r="B28" t="s">
        <v>28</v>
      </c>
      <c r="C28" s="2">
        <f>IF(E28&gt;0,E28,0)</f>
        <v>0</v>
      </c>
      <c r="D28" s="2">
        <f>IF(E28&lt;0,E28*-1,0)</f>
        <v>70990.50351035231</v>
      </c>
      <c r="E28" s="2">
        <f>IFERROR(VLOOKUP(B28,$B$229:$C$286,2,FALSE),0)</f>
        <v>-70990.50351035231</v>
      </c>
    </row>
    <row r="29" hidden="1" spans="2:5" x14ac:dyDescent="0.25">
      <c r="B29" t="s">
        <v>29</v>
      </c>
      <c r="C29" s="2">
        <f>IF(E29&gt;0,E29,0)</f>
        <v>0</v>
      </c>
      <c r="D29" s="2">
        <f>IF(E29&lt;0,E29*-1,0)</f>
        <v>0</v>
      </c>
      <c r="E29" s="2">
        <f>IFERROR(VLOOKUP(B29,$B$229:$C$286,2,FALSE),0)</f>
      </c>
    </row>
    <row r="30" hidden="1" spans="2:5" x14ac:dyDescent="0.25">
      <c r="B30" t="s">
        <v>30</v>
      </c>
      <c r="C30" s="2">
        <f>IF(E30&gt;0,E30,0)</f>
        <v>0</v>
      </c>
      <c r="D30" s="2">
        <f>IF(E30&lt;0,E30*-1,0)</f>
        <v>0</v>
      </c>
      <c r="E30" s="2">
        <f>IFERROR(VLOOKUP(B30,$B$229:$C$286,2,FALSE),0)</f>
      </c>
    </row>
    <row r="31" hidden="1" spans="2:5" x14ac:dyDescent="0.25">
      <c r="B31" t="s">
        <v>31</v>
      </c>
      <c r="C31" s="2">
        <f>IF(E31&gt;0,E31,0)</f>
        <v>0</v>
      </c>
      <c r="D31" s="2">
        <f>IF(E31&lt;0,E31*-1,0)</f>
        <v>0</v>
      </c>
      <c r="E31" s="2">
        <f>IFERROR(VLOOKUP(B31,$B$229:$C$286,2,FALSE),0)</f>
      </c>
    </row>
    <row r="32" hidden="1" spans="2:5" x14ac:dyDescent="0.25">
      <c r="B32" t="s">
        <v>32</v>
      </c>
      <c r="C32" s="2">
        <f>IF(E32&gt;0,E32,0)</f>
        <v>0</v>
      </c>
      <c r="D32" s="2">
        <f>IF(E32&lt;0,E32*-1,0)</f>
        <v>0</v>
      </c>
      <c r="E32" s="2">
        <f>IFERROR(VLOOKUP(B32,$B$229:$C$286,2,FALSE),0)</f>
      </c>
    </row>
    <row r="33" hidden="1" spans="2:5" x14ac:dyDescent="0.25">
      <c r="B33" t="s">
        <v>33</v>
      </c>
      <c r="C33" s="2">
        <f>IF(E33&gt;0,E33,0)</f>
        <v>0</v>
      </c>
      <c r="D33" s="2">
        <f>IF(E33&lt;0,E33*-1,0)</f>
        <v>0</v>
      </c>
      <c r="E33" s="2">
        <f>IFERROR(VLOOKUP(B33,$B$229:$C$286,2,FALSE),0)</f>
      </c>
    </row>
    <row r="34" hidden="1" spans="2:5" x14ac:dyDescent="0.25">
      <c r="B34" t="s">
        <v>34</v>
      </c>
      <c r="C34" s="2">
        <f>IF(E34&gt;0,E34,0)</f>
        <v>0</v>
      </c>
      <c r="D34" s="2">
        <f>IF(E34&lt;0,E34*-1,0)</f>
        <v>0</v>
      </c>
      <c r="E34" s="2">
        <f>IFERROR(VLOOKUP(B34,$B$229:$C$286,2,FALSE),0)</f>
      </c>
    </row>
    <row r="35" hidden="1" spans="2:5" x14ac:dyDescent="0.25">
      <c r="B35" t="s">
        <v>35</v>
      </c>
      <c r="C35" s="2">
        <f>IF(E35&gt;0,E35,0)</f>
        <v>0</v>
      </c>
      <c r="D35" s="2">
        <f>IF(E35&lt;0,E35*-1,0)</f>
        <v>0</v>
      </c>
      <c r="E35" s="2">
        <f>IFERROR(VLOOKUP(B35,$B$229:$C$286,2,FALSE),0)</f>
      </c>
    </row>
    <row r="36" hidden="1" spans="2:5" x14ac:dyDescent="0.25">
      <c r="B36" t="s">
        <v>36</v>
      </c>
      <c r="C36" s="2">
        <f>IF(E36&gt;0,E36,0)</f>
        <v>0</v>
      </c>
      <c r="D36" s="2">
        <f>IF(E36&lt;0,E36*-1,0)</f>
        <v>0</v>
      </c>
      <c r="E36" s="2">
        <f>IFERROR(VLOOKUP(B36,$B$229:$C$286,2,FALSE),0)</f>
      </c>
    </row>
    <row r="37" hidden="1" spans="2:5" x14ac:dyDescent="0.25">
      <c r="B37" t="s">
        <v>37</v>
      </c>
      <c r="C37" s="2">
        <f>IF(E37&gt;0,E37,0)</f>
        <v>0</v>
      </c>
      <c r="D37" s="2">
        <f>IF(E37&lt;0,E37*-1,0)</f>
        <v>0</v>
      </c>
      <c r="E37" s="2">
        <f>IFERROR(VLOOKUP(B37,$B$229:$C$286,2,FALSE),0)</f>
      </c>
    </row>
    <row r="38" hidden="1" spans="2:5" x14ac:dyDescent="0.25">
      <c r="B38" t="s">
        <v>38</v>
      </c>
      <c r="C38" s="2">
        <f>IF(E38&gt;0,E38,0)</f>
        <v>0</v>
      </c>
      <c r="D38" s="2">
        <f>IF(E38&lt;0,E38*-1,0)</f>
        <v>0</v>
      </c>
      <c r="E38" s="2">
        <f>IFERROR(VLOOKUP(B38,$B$229:$C$286,2,FALSE),0)</f>
      </c>
    </row>
    <row r="39" hidden="1" spans="2:5" x14ac:dyDescent="0.25">
      <c r="B39" t="s">
        <v>39</v>
      </c>
      <c r="C39" s="2">
        <f>IF(E39&gt;0,E39,0)</f>
        <v>0</v>
      </c>
      <c r="D39" s="2">
        <f>IF(E39&lt;0,E39*-1,0)</f>
        <v>0</v>
      </c>
      <c r="E39" s="2">
        <f>IFERROR(VLOOKUP(B39,$B$229:$C$286,2,FALSE),0)</f>
      </c>
    </row>
    <row r="40" hidden="1" spans="2:5" x14ac:dyDescent="0.25">
      <c r="B40" t="s">
        <v>40</v>
      </c>
      <c r="C40" s="2">
        <f>IF(E40&gt;0,E40,0)</f>
        <v>0</v>
      </c>
      <c r="D40" s="2">
        <f>IF(E40&lt;0,E40*-1,0)</f>
        <v>0</v>
      </c>
      <c r="E40" s="2">
        <f>IFERROR(VLOOKUP(B40,$B$229:$C$286,2,FALSE),0)</f>
      </c>
    </row>
    <row r="41" hidden="1" spans="2:5" x14ac:dyDescent="0.25">
      <c r="B41" t="s">
        <v>41</v>
      </c>
      <c r="C41" s="2">
        <f>IF(E41&gt;0,E41,0)</f>
        <v>0</v>
      </c>
      <c r="D41" s="2">
        <f>IF(E41&lt;0,E41*-1,0)</f>
        <v>0</v>
      </c>
      <c r="E41" s="2">
        <f>IFERROR(VLOOKUP(B41,$B$229:$C$286,2,FALSE),0)</f>
      </c>
    </row>
    <row r="42" spans="2:5" x14ac:dyDescent="0.25">
      <c r="B42" t="s">
        <v>42</v>
      </c>
      <c r="C42" s="2">
        <f>IF(E42&gt;0,E42,0)</f>
        <v>0</v>
      </c>
      <c r="D42" s="2">
        <f>IF(E42&lt;0,E42*-1,0)</f>
        <v>12.632834167361073</v>
      </c>
      <c r="E42" s="2">
        <f>IFERROR(VLOOKUP(B42,$B$229:$C$286,2,FALSE),0)</f>
        <v>-12.632834167361073</v>
      </c>
    </row>
    <row r="43" hidden="1" spans="2:5" x14ac:dyDescent="0.25">
      <c r="B43" t="s">
        <v>43</v>
      </c>
      <c r="C43" s="2">
        <f>IF(E43&gt;0,E43,0)</f>
        <v>0</v>
      </c>
      <c r="D43" s="2">
        <f>IF(E43&lt;0,E43*-1,0)</f>
        <v>0</v>
      </c>
      <c r="E43" s="2">
        <f>IFERROR(VLOOKUP(B43,$B$229:$C$286,2,FALSE),0)</f>
      </c>
    </row>
    <row r="44" hidden="1" spans="2:5" x14ac:dyDescent="0.25">
      <c r="B44" t="s">
        <v>44</v>
      </c>
      <c r="C44" s="2">
        <f>IF(E44&gt;0,E44,0)</f>
        <v>0</v>
      </c>
      <c r="D44" s="2">
        <f>IF(E44&lt;0,E44*-1,0)</f>
        <v>0</v>
      </c>
      <c r="E44" s="2">
        <f>IFERROR(VLOOKUP(B44,$B$229:$C$286,2,FALSE),0)</f>
      </c>
    </row>
    <row r="45" hidden="1" spans="2:5" x14ac:dyDescent="0.25">
      <c r="B45" t="s">
        <v>45</v>
      </c>
      <c r="C45" s="2">
        <f>IF(E45&gt;0,E45,0)</f>
        <v>0</v>
      </c>
      <c r="D45" s="2">
        <f>IF(E45&lt;0,E45*-1,0)</f>
        <v>0</v>
      </c>
      <c r="E45" s="2">
        <f>IFERROR(VLOOKUP(B45,$B$229:$C$286,2,FALSE),0)</f>
      </c>
    </row>
    <row r="46" hidden="1" spans="2:5" x14ac:dyDescent="0.25">
      <c r="B46" t="s">
        <v>46</v>
      </c>
      <c r="C46" s="2">
        <f>IF(E46&gt;0,E46,0)</f>
        <v>0</v>
      </c>
      <c r="D46" s="2">
        <f>IF(E46&lt;0,E46*-1,0)</f>
        <v>0</v>
      </c>
      <c r="E46" s="2">
        <f>IFERROR(VLOOKUP(B46,$B$229:$C$286,2,FALSE),0)</f>
      </c>
    </row>
    <row r="47" spans="2:7" x14ac:dyDescent="0.25">
      <c r="B47" t="s">
        <v>47</v>
      </c>
      <c r="C47" s="2">
        <f>IF(E47&gt;0,E47,0)</f>
        <v>0</v>
      </c>
      <c r="D47" s="2">
        <f>IF(E47&lt;0,E47*-1,0)</f>
        <v>293.35548614704425</v>
      </c>
      <c r="E47" s="2">
        <f>IFERROR(VLOOKUP(B47,$B$229:$C$286,2,FALSE),0)</f>
        <v>-293.35548614704425</v>
      </c>
      <c r="G47" s="3">
        <f>SUM(E29:E48)</f>
        <v>-8477.163421115732</v>
      </c>
    </row>
    <row r="48" spans="2:5" x14ac:dyDescent="0.25">
      <c r="B48" t="s">
        <v>48</v>
      </c>
      <c r="C48" s="2">
        <f>IF(E48&gt;0,E48,0)</f>
        <v>0</v>
      </c>
      <c r="D48" s="2">
        <f>IF(E48&lt;0,E48*-1,0)</f>
        <v>8171.175100801328</v>
      </c>
      <c r="E48" s="2">
        <f>IFERROR(VLOOKUP(B48,$B$229:$C$286,2,FALSE),0)</f>
        <v>-8171.175100801328</v>
      </c>
    </row>
    <row r="49" spans="5:7" x14ac:dyDescent="0.25">
      <c r="E49" s="3">
        <f>SUM(E7:E48)</f>
        <v>-516470.1356217448</v>
      </c>
      <c r="F49" s="3">
        <f>+E49-EESP!F33</f>
        <v>-338665.60591481475</v>
      </c>
      <c r="G49" s="3">
        <f>-F49+E12</f>
        <v>0</v>
      </c>
    </row>
    <row r="50" spans="2:2" x14ac:dyDescent="0.25">
      <c r="B50" t="s">
        <v>49</v>
      </c>
    </row>
    <row r="52" hidden="1" spans="1:5" x14ac:dyDescent="0.25">
      <c r="A52" t="s">
        <v>50</v>
      </c>
      <c r="B52" t="s">
        <v>51</v>
      </c>
      <c r="C52" s="2">
        <f>IF(E52&gt;0,E52,0)</f>
        <v>0</v>
      </c>
      <c r="D52" s="2">
        <f>IF(E52&lt;0,E52*-1,0)</f>
        <v>0</v>
      </c>
      <c r="E52" s="2">
        <f>IFERROR(VLOOKUP(B52,$B$229:$C$286,2,FALSE),0)</f>
      </c>
    </row>
    <row r="53" hidden="1" spans="2:5" x14ac:dyDescent="0.25">
      <c r="B53" t="s">
        <v>52</v>
      </c>
      <c r="C53" s="2">
        <f>IF(E53&gt;0,E53,0)</f>
        <v>0</v>
      </c>
      <c r="D53" s="2">
        <f>IF(E53&lt;0,E53*-1,0)</f>
        <v>0</v>
      </c>
      <c r="E53" s="2">
        <f>IFERROR(VLOOKUP(B53,$B$229:$C$286,2,FALSE),0)</f>
      </c>
    </row>
    <row r="54" hidden="1" spans="1:5" x14ac:dyDescent="0.25">
      <c r="A54" t="s">
        <v>53</v>
      </c>
      <c r="B54" t="s">
        <v>54</v>
      </c>
      <c r="C54" s="4">
        <f>IF(E54&gt;0,E54,0)</f>
        <v>0</v>
      </c>
      <c r="D54" s="2">
        <f>IF(E54&lt;0,E54*-1,0)</f>
        <v>0</v>
      </c>
      <c r="E54" s="2">
        <f>IFERROR(VLOOKUP(B54,$B$229:$C$286,2,FALSE),0)</f>
      </c>
    </row>
    <row r="55" hidden="1" spans="1:5" x14ac:dyDescent="0.25">
      <c r="A55" t="s">
        <v>55</v>
      </c>
      <c r="B55" t="s">
        <v>56</v>
      </c>
      <c r="C55" s="2">
        <f>IF(E55&gt;0,E55,0)</f>
        <v>0</v>
      </c>
      <c r="D55" s="2">
        <f>IF(E55&lt;0,E55*-1,0)</f>
        <v>0</v>
      </c>
      <c r="E55" s="2">
        <f>IFERROR(VLOOKUP(B55,$B$229:$C$286,2,FALSE),0)</f>
      </c>
    </row>
    <row r="56" hidden="1" spans="1:5" x14ac:dyDescent="0.25">
      <c r="A56" t="s">
        <v>57</v>
      </c>
      <c r="B56" t="s">
        <v>58</v>
      </c>
      <c r="C56" s="2">
        <f>IF(E56&gt;0,E56,0)</f>
        <v>0</v>
      </c>
      <c r="D56" s="2">
        <f>IF(E56&lt;0,E56*-1,0)</f>
        <v>0</v>
      </c>
      <c r="E56" s="2">
        <f>IFERROR(VLOOKUP(B56,$B$229:$C$286,2,FALSE),0)</f>
      </c>
    </row>
    <row r="57" hidden="1" spans="1:5" x14ac:dyDescent="0.25">
      <c r="A57" t="s">
        <v>59</v>
      </c>
      <c r="B57" t="s">
        <v>60</v>
      </c>
      <c r="C57" s="4">
        <f>IF(E57&gt;0,E57,0)</f>
        <v>202.40026714355932</v>
      </c>
      <c r="D57" s="2">
        <f>IF(E57&lt;0,E57*-1,0)</f>
      </c>
      <c r="E57" s="2">
        <f>IFERROR(VLOOKUP(B57,$B$229:$C$286,2,FALSE),0)</f>
        <v>202.40026714355932</v>
      </c>
    </row>
    <row r="58" spans="1:5" x14ac:dyDescent="0.25">
      <c r="A58" t="s">
        <v>61</v>
      </c>
      <c r="B58" t="s">
        <v>62</v>
      </c>
      <c r="C58" s="4">
        <f>IF(E58&gt;0,E58,0)</f>
        <v>554.3808712659337</v>
      </c>
      <c r="D58" s="2">
        <f>IF(E58&lt;0,E58*-1,0)</f>
      </c>
      <c r="E58" s="2">
        <f>IFERROR(VLOOKUP(B58,$B$229:$C$286,2,FALSE),0)</f>
        <v>554.3808712659337</v>
      </c>
    </row>
    <row r="59" spans="1:5" x14ac:dyDescent="0.25">
      <c r="A59" t="s">
        <v>63</v>
      </c>
      <c r="B59" t="s">
        <v>64</v>
      </c>
      <c r="C59" s="4">
        <f>IF(E59&gt;0,E59,0)</f>
      </c>
      <c r="D59" s="2">
        <f>IF(E59&lt;0,E59*-1,0)</f>
      </c>
      <c r="E59" s="2">
        <f>IFERROR(VLOOKUP(B59,$B$229:$C$286,2,FALSE),0)</f>
      </c>
    </row>
    <row r="60" spans="1:5" x14ac:dyDescent="0.25">
      <c r="A60" t="s">
        <v>65</v>
      </c>
      <c r="B60" t="s">
        <v>66</v>
      </c>
      <c r="C60" s="4">
        <f>IF(E60&gt;0,E60,0)</f>
      </c>
      <c r="D60" s="2">
        <f>IF(E60&lt;0,E60*-1,0)</f>
      </c>
      <c r="E60" s="2">
        <f>IFERROR(VLOOKUP(B60,$B$229:$C$286,2,FALSE),0)</f>
      </c>
    </row>
    <row r="61" spans="1:5" x14ac:dyDescent="0.25">
      <c r="A61" t="s">
        <v>67</v>
      </c>
      <c r="B61" t="s">
        <v>68</v>
      </c>
      <c r="C61" s="4">
        <f>IF(E61&gt;0,E61,0)</f>
      </c>
      <c r="D61" s="2">
        <f>IF(E61&lt;0,E61*-1,0)</f>
      </c>
      <c r="E61" s="2">
        <f>IFERROR(VLOOKUP(B61,$B$229:$C$286,2,FALSE),0)</f>
      </c>
    </row>
    <row r="62" spans="1:5" x14ac:dyDescent="0.25">
      <c r="A62" t="s">
        <v>69</v>
      </c>
      <c r="B62" t="s">
        <v>70</v>
      </c>
      <c r="C62" s="4">
        <f>IF(E62&gt;0,E62,0)</f>
      </c>
      <c r="D62" s="2">
        <f>IF(E62&lt;0,E62*-1,0)</f>
      </c>
      <c r="E62" s="2">
        <f>IFERROR(VLOOKUP(B62,$B$229:$C$286,2,FALSE),0)</f>
      </c>
    </row>
    <row r="63" spans="1:5" x14ac:dyDescent="0.25">
      <c r="A63" t="s">
        <v>71</v>
      </c>
      <c r="B63" t="s">
        <v>72</v>
      </c>
      <c r="C63" s="4">
        <f>IF(E63&gt;0,E63,0)</f>
        <v>76974.84163933096</v>
      </c>
      <c r="D63" s="2">
        <f>IF(E63&lt;0,E63*-1,0)</f>
      </c>
      <c r="E63" s="2">
        <f>IFERROR(VLOOKUP(B63,$B$229:$C$286,2,FALSE),0)</f>
        <v>76974.84163933096</v>
      </c>
    </row>
    <row r="64" spans="2:5" x14ac:dyDescent="0.25">
      <c r="B64" t="s">
        <v>73</v>
      </c>
      <c r="C64" s="4">
        <f>IF(E64&gt;0,E64,0)</f>
      </c>
      <c r="D64" s="2">
        <f>IF(E64&lt;0,E64*-1,0)</f>
      </c>
      <c r="E64" s="2">
        <f>IFERROR(VLOOKUP(B64,$B$229:$C$286,2,FALSE),0)</f>
      </c>
    </row>
    <row r="65" spans="1:5" x14ac:dyDescent="0.25">
      <c r="A65" t="s">
        <v>74</v>
      </c>
      <c r="B65" t="s">
        <v>75</v>
      </c>
      <c r="C65" s="4">
        <f>IF(E65&gt;0,E65,0)</f>
      </c>
      <c r="D65" s="2">
        <f>IF(E65&lt;0,E65*-1,0)</f>
      </c>
      <c r="E65" s="2">
        <f>IFERROR(VLOOKUP(B65,$B$229:$C$286,2,FALSE),0)</f>
      </c>
    </row>
    <row r="66" spans="1:5" x14ac:dyDescent="0.25">
      <c r="A66" t="s">
        <v>76</v>
      </c>
      <c r="B66" t="s">
        <v>77</v>
      </c>
      <c r="C66" s="2">
        <f>IF(E66&gt;0,E66,0)</f>
      </c>
      <c r="D66" s="2">
        <f>IF(E66&lt;0,E66*-1,0)</f>
      </c>
      <c r="E66" s="2">
        <f>IFERROR(VLOOKUP(B66,$B$229:$C$286,2,FALSE),0)</f>
      </c>
    </row>
    <row r="67" spans="2:5" x14ac:dyDescent="0.25">
      <c r="B67" t="s">
        <v>78</v>
      </c>
      <c r="C67" s="2">
        <f>IF(E67&gt;0,E67,0)</f>
      </c>
      <c r="D67" s="2">
        <f>IF(E67&lt;0,E67*-1,0)</f>
        <v>27115.82167280576</v>
      </c>
      <c r="E67" s="2">
        <f>IFERROR(VLOOKUP(B67,$B$229:$C$286,2,FALSE),0)</f>
        <v>-27115.82167280576</v>
      </c>
    </row>
    <row r="68" spans="1:5" x14ac:dyDescent="0.25">
      <c r="A68" t="s">
        <v>79</v>
      </c>
      <c r="B68" t="s">
        <v>80</v>
      </c>
      <c r="C68" s="4">
        <f>IF(E68&gt;0,E68,0)</f>
      </c>
      <c r="D68" s="2">
        <f>IF(E68&lt;0,E68*-1,0)</f>
      </c>
      <c r="E68" s="2">
        <f>IFERROR(VLOOKUP(B68,$B$229:$C$286,2,FALSE),0)</f>
      </c>
    </row>
    <row r="69" spans="1:5" x14ac:dyDescent="0.25">
      <c r="A69" t="s">
        <v>81</v>
      </c>
      <c r="B69" t="s">
        <v>82</v>
      </c>
      <c r="C69" s="4">
        <f>IF(E69&gt;0,E69,0)</f>
      </c>
      <c r="D69" s="2">
        <f>IF(E69&lt;0,E69*-1,0)</f>
      </c>
      <c r="E69" s="2">
        <f>IFERROR(VLOOKUP(B69,$B$229:$C$286,2,FALSE),0)</f>
      </c>
    </row>
    <row r="70" spans="1:5" x14ac:dyDescent="0.25">
      <c r="A70" t="s">
        <v>83</v>
      </c>
      <c r="B70" t="s">
        <v>84</v>
      </c>
      <c r="C70" s="4">
        <f>IF(E70&gt;0,E70,0)</f>
      </c>
      <c r="D70" s="2">
        <f>IF(E70&lt;0,E70*-1,0)</f>
      </c>
      <c r="E70" s="2">
        <f>IFERROR(VLOOKUP(B70,$B$229:$C$286,2,FALSE),0)</f>
      </c>
    </row>
    <row r="71" spans="1:5" x14ac:dyDescent="0.25">
      <c r="A71" t="s">
        <v>85</v>
      </c>
      <c r="B71" t="s">
        <v>86</v>
      </c>
      <c r="C71" s="2">
        <f>IF(E71&gt;0,E71,0)</f>
      </c>
      <c r="D71" s="2">
        <f>IF(E71&lt;0,E71*-1,0)</f>
      </c>
      <c r="E71" s="2">
        <f>IFERROR(VLOOKUP(B71,$B$229:$C$286,2,FALSE),0)</f>
      </c>
    </row>
    <row r="72" spans="1:5" x14ac:dyDescent="0.25">
      <c r="A72" t="s">
        <v>87</v>
      </c>
      <c r="B72" t="s">
        <v>88</v>
      </c>
      <c r="C72" s="4">
        <f>IF(E72&gt;0,E72,0)</f>
      </c>
      <c r="D72" s="2">
        <f>IF(E72&lt;0,E72*-1,0)</f>
      </c>
      <c r="E72" s="2">
        <f>IFERROR(VLOOKUP(B72,$B$229:$C$286,2,FALSE),0)</f>
      </c>
    </row>
    <row r="73" spans="1:5" x14ac:dyDescent="0.25">
      <c r="A73" t="s">
        <v>89</v>
      </c>
      <c r="B73" t="s">
        <v>90</v>
      </c>
      <c r="C73" s="2">
        <f>IF(E73&gt;0,E73,0)</f>
      </c>
      <c r="D73" s="2">
        <f>IF(E73&lt;0,E73*-1,0)</f>
      </c>
      <c r="E73" s="2">
        <f>IFERROR(VLOOKUP(B73,$B$229:$C$286,2,FALSE),0)</f>
      </c>
    </row>
    <row r="74" spans="1:5" x14ac:dyDescent="0.25">
      <c r="A74" t="s">
        <v>91</v>
      </c>
      <c r="B74" t="s">
        <v>92</v>
      </c>
      <c r="C74" s="2">
        <f>IF(E74&gt;0,E74,0)</f>
      </c>
      <c r="D74" s="2">
        <f>IF(E74&lt;0,E74*-1,0)</f>
      </c>
      <c r="E74" s="2">
        <f>IFERROR(VLOOKUP(B74,$B$229:$C$286,2,FALSE),0)</f>
      </c>
    </row>
    <row r="75" spans="1:5" x14ac:dyDescent="0.25">
      <c r="A75" t="s">
        <v>93</v>
      </c>
      <c r="B75" t="s">
        <v>94</v>
      </c>
      <c r="C75" s="4">
        <f>IF(E75&gt;0,E75,0)</f>
      </c>
      <c r="D75" s="2">
        <f>IF(E75&lt;0,E75*-1,0)</f>
      </c>
      <c r="E75" s="2">
        <f>IFERROR(VLOOKUP(B75,$B$229:$C$286,2,FALSE),0)</f>
      </c>
    </row>
    <row r="76" spans="1:5" x14ac:dyDescent="0.25">
      <c r="A76" t="s">
        <v>95</v>
      </c>
      <c r="B76" t="s">
        <v>96</v>
      </c>
      <c r="C76" s="4">
        <f>IF(E76&gt;0,E76,0)</f>
      </c>
      <c r="D76" s="2">
        <f>IF(E76&lt;0,E76*-1,0)</f>
      </c>
      <c r="E76" s="2">
        <f>IFERROR(VLOOKUP(B76,$B$229:$C$286,2,FALSE),0)</f>
      </c>
    </row>
    <row r="77" spans="1:5" x14ac:dyDescent="0.25">
      <c r="A77" t="s">
        <v>97</v>
      </c>
      <c r="B77" t="s">
        <v>98</v>
      </c>
      <c r="C77" s="4">
        <f>IF(E77&gt;0,E77,0)</f>
      </c>
      <c r="D77" s="2">
        <f>IF(E77&lt;0,E77*-1,0)</f>
      </c>
      <c r="E77" s="2">
        <f>IFERROR(VLOOKUP(B77,$B$229:$C$286,2,FALSE),0)</f>
      </c>
    </row>
    <row r="78" spans="1:5" x14ac:dyDescent="0.25">
      <c r="A78" t="s">
        <v>99</v>
      </c>
      <c r="B78" t="s">
        <v>100</v>
      </c>
      <c r="C78" s="4">
        <f>IF(E78&gt;0,E78,0)</f>
        <v>654.0772308209719</v>
      </c>
      <c r="D78" s="2">
        <f>IF(E78&lt;0,E78*-1,0)</f>
      </c>
      <c r="E78" s="2">
        <f>IFERROR(VLOOKUP(B78,$B$229:$C$286,2,FALSE),0)</f>
        <v>654.0772308209719</v>
      </c>
    </row>
    <row r="79" spans="1:5" x14ac:dyDescent="0.25">
      <c r="A79" t="s">
        <v>101</v>
      </c>
      <c r="B79" t="s">
        <v>102</v>
      </c>
      <c r="C79" s="2">
        <f>IF(E79&gt;0,E79,0)</f>
      </c>
      <c r="D79" s="2">
        <f>IF(E79&lt;0,E79*-1,0)</f>
      </c>
      <c r="E79" s="2">
        <f>IFERROR(VLOOKUP(B79,$B$229:$C$286,2,FALSE),0)</f>
      </c>
    </row>
    <row r="80" spans="1:5" x14ac:dyDescent="0.25">
      <c r="A80" t="s">
        <v>103</v>
      </c>
      <c r="B80" t="s">
        <v>104</v>
      </c>
      <c r="C80" s="4">
        <f>IF(E80&gt;0,E80,0)</f>
      </c>
      <c r="D80" s="2">
        <f>IF(E80&lt;0,E80*-1,0)</f>
        <v>0.00047752934503098314</v>
      </c>
      <c r="E80" s="2">
        <f>IFERROR(VLOOKUP(B80,$B$229:$C$286,2,FALSE),0)</f>
        <v>-0.00047752934503098314</v>
      </c>
    </row>
    <row r="81" spans="1:5" x14ac:dyDescent="0.25">
      <c r="A81" t="s">
        <v>105</v>
      </c>
      <c r="B81" t="s">
        <v>106</v>
      </c>
      <c r="C81" s="2">
        <f>IF(E81&gt;0,E81,0)</f>
      </c>
      <c r="D81" s="2">
        <f>IF(E81&lt;0,E81*-1,0)</f>
      </c>
      <c r="E81" s="2">
        <f>IFERROR(VLOOKUP(B81,$B$229:$C$286,2,FALSE),0)</f>
      </c>
    </row>
    <row r="82" spans="1:5" x14ac:dyDescent="0.25">
      <c r="A82" t="s">
        <v>107</v>
      </c>
      <c r="B82" t="s">
        <v>108</v>
      </c>
      <c r="C82" s="2">
        <f>IF(E82&gt;0,E82,0)</f>
        <v>109231.90769221324</v>
      </c>
      <c r="D82" s="2">
        <f>IF(E82&lt;0,E82*-1,0)</f>
      </c>
      <c r="E82" s="2">
        <f>IFERROR(VLOOKUP(B82,$B$229:$C$286,2,FALSE),0)</f>
        <v>109231.90769221324</v>
      </c>
    </row>
    <row r="83" spans="1:5" x14ac:dyDescent="0.25">
      <c r="A83" t="s">
        <v>109</v>
      </c>
      <c r="B83" t="s">
        <v>110</v>
      </c>
      <c r="C83" s="4">
        <f>IF(E83&gt;0,E83,0)</f>
        <v>20201.505581806403</v>
      </c>
      <c r="D83" s="2">
        <f>IF(E83&lt;0,E83*-1,0)</f>
      </c>
      <c r="E83" s="2">
        <f>IFERROR(VLOOKUP(B83,$B$229:$C$286,2,FALSE),0)</f>
        <v>20201.505581806403</v>
      </c>
    </row>
    <row r="84" spans="1:5" x14ac:dyDescent="0.25">
      <c r="A84" t="s">
        <v>111</v>
      </c>
      <c r="B84" t="s">
        <v>112</v>
      </c>
      <c r="C84" s="4">
        <f>IF(E84&gt;0,E84,0)</f>
      </c>
      <c r="D84" s="2">
        <f>IF(E84&lt;0,E84*-1,0)</f>
        <v>876.1790625894301</v>
      </c>
      <c r="E84" s="2">
        <f>IFERROR(VLOOKUP(B84,$B$229:$C$286,2,FALSE),0)</f>
        <v>-876.1790625894301</v>
      </c>
    </row>
    <row r="85" spans="1:5" x14ac:dyDescent="0.25">
      <c r="A85" t="s">
        <v>113</v>
      </c>
      <c r="B85" t="s">
        <v>114</v>
      </c>
      <c r="C85" s="4">
        <f>IF(E85&gt;0,E85,0)</f>
        <v>286.43025325768815</v>
      </c>
      <c r="D85" s="2">
        <f>IF(E85&lt;0,E85*-1,0)</f>
      </c>
      <c r="E85" s="2">
        <f>IFERROR(VLOOKUP(B85,$B$229:$C$286,2,FALSE),0)</f>
        <v>286.43025325768815</v>
      </c>
    </row>
    <row r="86" spans="1:5" x14ac:dyDescent="0.25">
      <c r="A86" t="s">
        <v>115</v>
      </c>
      <c r="B86" t="s">
        <v>116</v>
      </c>
      <c r="C86" s="4">
        <f>IF(E86&gt;0,E86,0)</f>
      </c>
      <c r="D86" s="2">
        <f>IF(E86&lt;0,E86*-1,0)</f>
        <v>55.880722720198165</v>
      </c>
      <c r="E86" s="2">
        <f>IFERROR(VLOOKUP(B86,$B$229:$C$286,2,FALSE),0)</f>
        <v>-55.880722720198165</v>
      </c>
    </row>
    <row r="87" spans="1:5" x14ac:dyDescent="0.25">
      <c r="A87" t="s">
        <v>117</v>
      </c>
      <c r="B87" t="s">
        <v>118</v>
      </c>
      <c r="C87" s="4">
        <f>IF(E87&gt;0,E87,0)</f>
      </c>
      <c r="D87" s="2">
        <f>IF(E87&lt;0,E87*-1,0)</f>
      </c>
      <c r="E87" s="2">
        <f>IFERROR(VLOOKUP(B87,$B$229:$C$286,2,FALSE),0)</f>
      </c>
    </row>
    <row r="88" spans="1:5" x14ac:dyDescent="0.25">
      <c r="A88" t="s">
        <v>119</v>
      </c>
      <c r="B88" t="s">
        <v>120</v>
      </c>
      <c r="C88" s="4">
        <f>IF(E88&gt;0,E88,0)</f>
      </c>
      <c r="D88" s="2">
        <f>IF(E88&lt;0,E88*-1,0)</f>
      </c>
      <c r="E88" s="2">
        <f>IFERROR(VLOOKUP(B88,$B$229:$C$286,2,FALSE),0)</f>
      </c>
    </row>
    <row r="89" spans="2:5" x14ac:dyDescent="0.25">
      <c r="B89" t="s">
        <v>121</v>
      </c>
      <c r="C89" s="4">
        <f>IF(E89&gt;0,E89,0)</f>
      </c>
      <c r="D89" s="2">
        <f>IF(E89&lt;0,E89*-1,0)</f>
      </c>
      <c r="E89" s="2">
        <f>IFERROR(VLOOKUP(B89,$B$229:$C$286,2,FALSE),0)</f>
      </c>
    </row>
    <row r="90" spans="1:7" x14ac:dyDescent="0.25">
      <c r="A90" t="s">
        <v>122</v>
      </c>
      <c r="B90" t="s">
        <v>123</v>
      </c>
      <c r="C90" s="2">
        <f>IF(E90&gt;0,E90,0)</f>
        <v>27115.82167280576</v>
      </c>
      <c r="D90" s="2">
        <f>IF(E90&lt;0,E90*-1,0)</f>
      </c>
      <c r="E90" s="2">
        <f>IFERROR(VLOOKUP(B90,$B$229:$C$286,2,FALSE),0)</f>
        <v>27115.82167280576</v>
      </c>
      <c r="G90" s="3">
        <f>+E12</f>
        <v>-338665.60591481486</v>
      </c>
    </row>
    <row r="91" spans="1:5" x14ac:dyDescent="0.25">
      <c r="A91" t="s">
        <v>124</v>
      </c>
      <c r="B91" t="s">
        <v>125</v>
      </c>
      <c r="C91" s="4">
        <f>IF(E91&gt;0,E91,0)</f>
      </c>
      <c r="D91" s="2">
        <f>IF(E91&lt;0,E91*-1,0)</f>
      </c>
      <c r="E91" s="2">
        <f>IFERROR(VLOOKUP(B91,$B$229:$C$286,2,FALSE),0)</f>
      </c>
    </row>
    <row r="92" spans="1:5" x14ac:dyDescent="0.25">
      <c r="A92" t="s">
        <v>126</v>
      </c>
      <c r="B92" t="s">
        <v>127</v>
      </c>
      <c r="C92" s="2">
        <f>IF(E92&gt;0,E92,0)</f>
      </c>
      <c r="D92" s="2">
        <f>IF(E92&lt;0,E92*-1,0)</f>
      </c>
      <c r="E92" s="2">
        <f>IFERROR(VLOOKUP(B92,$B$229:$C$286,2,FALSE),0)</f>
      </c>
    </row>
    <row r="93" spans="1:5" x14ac:dyDescent="0.25">
      <c r="A93" t="s">
        <v>128</v>
      </c>
      <c r="B93" t="s">
        <v>129</v>
      </c>
      <c r="C93" s="2">
        <f>IF(E93&gt;0,E93,0)</f>
      </c>
      <c r="D93" s="2">
        <f>IF(E93&lt;0,E93*-1,0)</f>
      </c>
      <c r="E93" s="2">
        <f>IFERROR(VLOOKUP(B93,$B$229:$C$286,2,FALSE),0)</f>
      </c>
    </row>
    <row r="94" spans="1:5" x14ac:dyDescent="0.25">
      <c r="A94" t="s">
        <v>130</v>
      </c>
      <c r="B94" t="s">
        <v>131</v>
      </c>
      <c r="C94" s="2">
        <f>IF(E94&gt;0,E94,0)</f>
      </c>
      <c r="D94" s="2">
        <f>IF(E94&lt;0,E94*-1,0)</f>
      </c>
      <c r="E94" s="2">
        <f>IFERROR(VLOOKUP(B94,$B$229:$C$286,2,FALSE),0)</f>
      </c>
    </row>
    <row r="95" spans="1:5" x14ac:dyDescent="0.25">
      <c r="A95" t="s">
        <v>132</v>
      </c>
      <c r="B95" t="s">
        <v>133</v>
      </c>
      <c r="C95" s="2">
        <f>IF(E95&gt;0,E95,0)</f>
      </c>
      <c r="D95" s="2">
        <f>IF(E95&lt;0,E95*-1,0)</f>
      </c>
      <c r="E95" s="2">
        <f>IFERROR(VLOOKUP(B95,$B$229:$C$286,2,FALSE),0)</f>
      </c>
    </row>
    <row r="96" spans="2:5" x14ac:dyDescent="0.25">
      <c r="B96" t="s">
        <v>134</v>
      </c>
      <c r="C96" s="2">
        <f>IF(E96&gt;0,E96,0)</f>
      </c>
      <c r="D96" s="2">
        <f>IF(E96&lt;0,E96*-1,0)</f>
      </c>
      <c r="E96" s="2">
        <f>IFERROR(VLOOKUP(B96,$B$229:$C$286,2,FALSE),0)</f>
      </c>
    </row>
    <row r="97" spans="2:5" x14ac:dyDescent="0.25">
      <c r="B97" t="s">
        <v>135</v>
      </c>
      <c r="C97" s="2">
        <f>IF(E97&gt;0,E97,0)</f>
      </c>
      <c r="D97" s="2">
        <f>IF(E97&lt;0,E97*-1,0)</f>
        <v>33250.09910439371</v>
      </c>
      <c r="E97" s="2">
        <f>IFERROR(VLOOKUP(B97,$B$229:$C$286,2,FALSE),0)</f>
        <v>-33250.09910439371</v>
      </c>
    </row>
    <row r="98" spans="2:5" x14ac:dyDescent="0.25">
      <c r="B98" t="s">
        <v>136</v>
      </c>
      <c r="C98" s="2">
        <f>IF(E98&gt;0,E98,0)</f>
      </c>
      <c r="D98" s="2">
        <f>IF(E98&lt;0,E98*-1,0)</f>
      </c>
      <c r="E98" s="2">
        <f>IFERROR(VLOOKUP(B98,$B$229:$C$286,2,FALSE),0)</f>
      </c>
    </row>
    <row r="99" spans="1:5" x14ac:dyDescent="0.25">
      <c r="A99" t="s">
        <v>137</v>
      </c>
      <c r="B99" t="s">
        <v>138</v>
      </c>
      <c r="C99" s="2">
        <f>IF(E99&gt;0,E99,0)</f>
      </c>
      <c r="D99" s="2">
        <f>IF(E99&lt;0,E99*-1,0)</f>
      </c>
      <c r="E99" s="2">
        <f>IFERROR(VLOOKUP(B99,$B$229:$C$286,2,FALSE),0)</f>
      </c>
    </row>
    <row r="100" spans="1:5" x14ac:dyDescent="0.25">
      <c r="A100" t="s">
        <v>139</v>
      </c>
      <c r="B100" t="s">
        <v>140</v>
      </c>
      <c r="C100" s="2">
        <f>IF(E100&gt;0,E100,0)</f>
      </c>
      <c r="D100" s="2">
        <f>IF(E100&lt;0,E100*-1,0)</f>
      </c>
      <c r="E100" s="2">
        <f>IFERROR(VLOOKUP(B100,$B$229:$C$286,2,FALSE),0)</f>
      </c>
    </row>
    <row r="101" spans="2:5" x14ac:dyDescent="0.25">
      <c r="B101" t="s">
        <v>141</v>
      </c>
      <c r="C101" s="2">
        <f>IF(E101&gt;0,E101,0)</f>
      </c>
      <c r="D101" s="2">
        <f>IF(E101&lt;0,E101*-1,0)</f>
      </c>
      <c r="E101" s="2">
        <f>IFERROR(VLOOKUP(B101,$B$229:$C$286,2,FALSE),0)</f>
      </c>
    </row>
    <row r="102" spans="2:5" x14ac:dyDescent="0.25">
      <c r="B102" t="s">
        <v>142</v>
      </c>
      <c r="C102" s="2">
        <f>IF(E102&gt;0,E102,0)</f>
        <v>166.02559489070887</v>
      </c>
      <c r="D102" s="2">
        <f>IF(E102&lt;0,E102*-1,0)</f>
      </c>
      <c r="E102" s="2">
        <f>IFERROR(VLOOKUP(B102,$B$229:$C$286,2,FALSE),0)</f>
        <v>166.02559489070887</v>
      </c>
    </row>
    <row r="103" spans="2:5" x14ac:dyDescent="0.25">
      <c r="B103" t="s">
        <v>143</v>
      </c>
      <c r="C103" s="2">
        <f>IF(E103&gt;0,E103,0)</f>
      </c>
      <c r="D103" s="2">
        <f>IF(E103&lt;0,E103*-1,0)</f>
      </c>
      <c r="E103" s="2">
        <f>IFERROR(VLOOKUP(B103,$B$229:$C$286,2,FALSE),0)</f>
      </c>
    </row>
    <row r="104" spans="2:5" x14ac:dyDescent="0.25">
      <c r="B104" t="s">
        <v>144</v>
      </c>
      <c r="C104" s="2">
        <f>IF(E104&gt;0,E104,0)</f>
      </c>
      <c r="D104" s="2">
        <f>IF(E104&lt;0,E104*-1,0)</f>
        <v>3720.6357825699743</v>
      </c>
      <c r="E104" s="2">
        <f>IFERROR(VLOOKUP(B104,$B$229:$C$286,2,FALSE),0)</f>
        <v>-3720.6357825699743</v>
      </c>
    </row>
    <row r="105" spans="2:5" x14ac:dyDescent="0.25">
      <c r="B105" t="s">
        <v>145</v>
      </c>
      <c r="C105" s="2">
        <f>IF(E105&gt;0,E105,0)</f>
      </c>
      <c r="D105" s="2">
        <f>IF(E105&lt;0,E105*-1,0)</f>
      </c>
      <c r="E105" s="2">
        <f>IFERROR(VLOOKUP(B105,$B$229:$C$286,2,FALSE),0)</f>
      </c>
    </row>
    <row r="106" spans="2:5" x14ac:dyDescent="0.25">
      <c r="B106" t="s">
        <v>146</v>
      </c>
      <c r="C106" s="2">
        <f>IF(E106&gt;0,E106,0)</f>
      </c>
      <c r="D106" s="2">
        <f>IF(E106&lt;0,E106*-1,0)</f>
      </c>
      <c r="E106" s="2">
        <f>IFERROR(VLOOKUP(B106,$B$229:$C$286,2,FALSE),0)</f>
      </c>
    </row>
    <row r="107" spans="1:5" x14ac:dyDescent="0.25">
      <c r="A107" t="s">
        <v>147</v>
      </c>
      <c r="B107" t="s">
        <v>148</v>
      </c>
      <c r="C107" s="2">
        <f>IF(E107&gt;0,E107,0)</f>
      </c>
      <c r="D107" s="2">
        <f>IF(E107&lt;0,E107*-1,0)</f>
      </c>
      <c r="E107" s="2">
        <f>IFERROR(VLOOKUP(B107,$B$229:$C$286,2,FALSE),0)</f>
      </c>
    </row>
    <row r="108" spans="1:5" x14ac:dyDescent="0.25">
      <c r="A108" t="s">
        <v>149</v>
      </c>
      <c r="B108" t="s">
        <v>150</v>
      </c>
      <c r="C108" s="4">
        <f>IF(E108&gt;0,E108,0)</f>
      </c>
      <c r="D108" s="2">
        <f>IF(E108&lt;0,E108*-1,0)</f>
        <v>516.76151877526</v>
      </c>
      <c r="E108" s="2">
        <f>IFERROR(VLOOKUP(B108,$B$229:$C$286,2,FALSE),0)</f>
        <v>-516.76151877526</v>
      </c>
    </row>
    <row r="109" spans="1:5" x14ac:dyDescent="0.25">
      <c r="A109" t="s">
        <v>151</v>
      </c>
      <c r="B109" t="s">
        <v>152</v>
      </c>
      <c r="C109" s="2">
        <f>IF(E109&gt;0,E109,0)</f>
      </c>
      <c r="D109" s="5">
        <f>IF(E109&lt;0,E109*-1,0)</f>
      </c>
      <c r="E109" s="2">
        <f>IFERROR(VLOOKUP(B109,$B$229:$C$286,2,FALSE),0)</f>
      </c>
    </row>
    <row r="110" spans="5:6" x14ac:dyDescent="0.25">
      <c r="E110" s="3">
        <f>SUM(E52:E109)</f>
        <v>169852.01246215156</v>
      </c>
      <c r="F110" s="3">
        <f>+E110+E12+EESP!L24</f>
        <v>-0.010477529343916103</v>
      </c>
    </row>
    <row r="111" spans="2:2" x14ac:dyDescent="0.25">
      <c r="B111" t="s">
        <v>153</v>
      </c>
    </row>
    <row r="113" spans="2:5" x14ac:dyDescent="0.25">
      <c r="B113" t="s">
        <v>154</v>
      </c>
      <c r="C113" s="2">
        <f>+IF(E113&gt;0,E113,0)</f>
      </c>
      <c r="D113" s="2">
        <f>+IF(E113&lt;0,-E113,0)</f>
      </c>
      <c r="E113" s="2">
        <f>IFERROR(VLOOKUP(B113,$B$229:$C$286,2,FALSE),0)</f>
      </c>
    </row>
    <row r="114" spans="2:5" x14ac:dyDescent="0.25">
      <c r="B114" t="s">
        <v>155</v>
      </c>
      <c r="C114" s="2">
        <f>+IF(E114&gt;0,E114,0)</f>
      </c>
      <c r="D114" s="2">
        <f>-IF(E114&lt;0,E114,0)</f>
      </c>
      <c r="E114" s="2">
        <f>IFERROR(VLOOKUP(B114,$B$229:$C$286,2,FALSE),0)</f>
      </c>
    </row>
    <row r="115" spans="2:5" x14ac:dyDescent="0.25">
      <c r="B115" t="s">
        <v>156</v>
      </c>
      <c r="C115" s="2">
        <v>0</v>
      </c>
      <c r="D115" s="2">
        <v>0</v>
      </c>
      <c r="E115" s="2">
        <f>IFERROR(VLOOKUP(B115,$B$229:$C$286,2,FALSE),0)</f>
      </c>
    </row>
    <row r="116" spans="5:5" x14ac:dyDescent="0.25">
      <c r="E116" s="3">
        <f>SUM(E113:E115)</f>
      </c>
    </row>
    <row r="117" spans="2:2" x14ac:dyDescent="0.25">
      <c r="B117" t="s">
        <v>157</v>
      </c>
    </row>
    <row r="118" ht="12" customHeight="1" x14ac:dyDescent="0.25"/>
    <row r="119" spans="2:5" x14ac:dyDescent="0.25">
      <c r="B119" t="s">
        <v>158</v>
      </c>
      <c r="C119" s="2">
        <f>IF(E119&gt;0,E119,0)</f>
      </c>
      <c r="D119" s="2">
        <f>IF(E119&lt;0,E119*-1,0)</f>
      </c>
      <c r="E119" s="2">
        <f>IFERROR(VLOOKUP(B119,$B$229:$C$286,2,FALSE),0)</f>
      </c>
    </row>
    <row r="120" spans="2:5" x14ac:dyDescent="0.25">
      <c r="B120" t="s">
        <v>159</v>
      </c>
      <c r="C120" s="2">
        <f>IF(E120&gt;0,E120,0)</f>
      </c>
      <c r="D120" s="2">
        <f>IF(E120&lt;0,E120*-1,0)</f>
      </c>
      <c r="E120" s="2">
        <f>IFERROR(VLOOKUP(B120,$B$229:$C$286,2,FALSE),0)</f>
      </c>
    </row>
    <row r="121" spans="2:5" x14ac:dyDescent="0.25">
      <c r="B121" t="s">
        <v>160</v>
      </c>
      <c r="C121" s="2">
        <f>IF(E121&gt;0,E121,0)</f>
      </c>
      <c r="D121" s="2">
        <f>IF(E121&lt;0,E121*-1,0)</f>
        <v>2310.25</v>
      </c>
      <c r="E121" s="2">
        <f>IFERROR(VLOOKUP(B121,$B$229:$C$286,2,FALSE),0)</f>
        <v>-2310.25</v>
      </c>
    </row>
    <row r="122" spans="2:5" x14ac:dyDescent="0.25">
      <c r="B122" t="s">
        <v>161</v>
      </c>
      <c r="C122" s="2">
        <f>IF(E122&gt;0,E122,0)</f>
      </c>
      <c r="D122" s="2">
        <f>IF(E122&lt;0,E122*-1,0)</f>
      </c>
      <c r="E122" s="2">
        <f>IFERROR(VLOOKUP(B122,$B$229:$C$286,2,FALSE),0)</f>
      </c>
    </row>
    <row r="123" spans="2:5" x14ac:dyDescent="0.25">
      <c r="B123" t="s">
        <v>162</v>
      </c>
      <c r="C123" s="2">
        <f>IF(E123&gt;0,E123,0)</f>
      </c>
      <c r="D123" s="2">
        <f>IF(E123&lt;0,E123*-1,0)</f>
      </c>
      <c r="E123" s="2">
        <f>IFERROR(VLOOKUP(B123,$B$229:$C$286,2,FALSE),0)</f>
      </c>
    </row>
    <row r="124" spans="2:5" x14ac:dyDescent="0.25">
      <c r="B124" t="s">
        <v>163</v>
      </c>
      <c r="C124" s="2">
        <f>IF(E124&gt;0,E124,0)</f>
      </c>
      <c r="D124" s="2">
        <f>IF(E124&lt;0,E124*-1,0)</f>
      </c>
      <c r="E124" s="2">
        <f>IFERROR(VLOOKUP(B124,$B$229:$C$286,2,FALSE),0)</f>
      </c>
    </row>
    <row r="125" spans="2:5" x14ac:dyDescent="0.25">
      <c r="B125" t="s">
        <v>164</v>
      </c>
      <c r="C125" s="2">
        <f>IF(E125&gt;0,E125,0)</f>
      </c>
      <c r="D125" s="2">
        <f>IF(E125&lt;0,E125*-1,0)</f>
      </c>
      <c r="E125" s="2">
        <f>IFERROR(VLOOKUP(B125,$B$229:$C$286,2,FALSE),0)</f>
      </c>
    </row>
    <row r="126" spans="2:5" x14ac:dyDescent="0.25">
      <c r="B126" t="s">
        <v>165</v>
      </c>
      <c r="C126" s="2">
        <f>IF(E126&gt;0,E126,0)</f>
      </c>
      <c r="D126" s="2">
        <f>IF(E126&lt;0,E126*-1,0)</f>
      </c>
      <c r="E126" s="2">
        <f>IFERROR(VLOOKUP(B126,$B$229:$C$286,2,FALSE),0)</f>
      </c>
    </row>
    <row r="127" spans="2:5" x14ac:dyDescent="0.25">
      <c r="B127" t="s">
        <v>166</v>
      </c>
      <c r="C127" s="2">
        <f>IF(E127&gt;0,E127,0)</f>
      </c>
      <c r="D127" s="2">
        <f>IF(E127&lt;0,E127*-1,0)</f>
      </c>
      <c r="E127" s="2">
        <f>IFERROR(VLOOKUP(B127,$B$229:$C$286,2,FALSE),0)</f>
      </c>
    </row>
    <row r="128" spans="2:5" x14ac:dyDescent="0.25">
      <c r="B128" t="s">
        <v>167</v>
      </c>
      <c r="C128" s="2">
        <f>IF(E128&gt;0,E128,0)</f>
      </c>
      <c r="D128" s="2">
        <f>IF(E128&lt;0,E128*-1,0)</f>
      </c>
      <c r="E128" s="2">
        <f>IFERROR(VLOOKUP(B128,$B$229:$C$286,2,FALSE),0)</f>
      </c>
    </row>
    <row r="129" spans="2:5" x14ac:dyDescent="0.25">
      <c r="B129" t="s">
        <v>168</v>
      </c>
      <c r="C129" s="2">
        <f>IF(E129&gt;0,E129,0)</f>
        <v>93970.96</v>
      </c>
      <c r="D129" s="2">
        <f>IF(E129&lt;0,E129*-1,0)</f>
      </c>
      <c r="E129" s="2">
        <f>IFERROR(VLOOKUP(B129,$B$229:$C$286,2,FALSE),0)</f>
        <v>93970.96</v>
      </c>
    </row>
    <row r="130" spans="2:5" x14ac:dyDescent="0.25">
      <c r="B130" t="s">
        <v>169</v>
      </c>
      <c r="C130" s="2">
        <f>IF(E130&gt;0,E130,0)</f>
        <v>15732.210000000001</v>
      </c>
      <c r="D130" s="2">
        <f>IF(E130&lt;0,E130*-1,0)</f>
      </c>
      <c r="E130" s="2">
        <f>IFERROR(VLOOKUP(B130,$B$229:$C$286,2,FALSE),0)</f>
        <v>15732.210000000001</v>
      </c>
    </row>
    <row r="131" spans="2:5" x14ac:dyDescent="0.25">
      <c r="B131" t="s">
        <v>170</v>
      </c>
      <c r="C131" s="2">
        <f>IF(E131&gt;0,E131,0)</f>
      </c>
      <c r="D131" s="2">
        <f>IF(E131&lt;0,E131*-1,0)</f>
      </c>
      <c r="E131" s="2">
        <f>IFERROR(VLOOKUP(B131,$B$229:$C$286,2,FALSE),0)</f>
      </c>
    </row>
    <row r="132" spans="2:5" x14ac:dyDescent="0.25">
      <c r="B132" t="s">
        <v>171</v>
      </c>
      <c r="C132" s="2">
        <f>IF(E132&gt;0,E132,0)</f>
        <v>30470.95</v>
      </c>
      <c r="D132" s="2">
        <f>IF(E132&lt;0,E132*-1,0)</f>
      </c>
      <c r="E132" s="2">
        <f>IFERROR(VLOOKUP(B132,$B$229:$C$286,2,FALSE),0)</f>
        <v>30470.95</v>
      </c>
    </row>
    <row r="133" spans="2:5" x14ac:dyDescent="0.25">
      <c r="B133" t="s">
        <v>172</v>
      </c>
      <c r="C133" s="2">
        <f>IF(E133&gt;0,E133,0)</f>
      </c>
      <c r="D133" s="2">
        <f>IF(E133&lt;0,E133*-1,0)</f>
      </c>
      <c r="E133" s="2">
        <f>IFERROR(VLOOKUP(B133,$B$229:$C$286,2,FALSE),0)</f>
      </c>
    </row>
    <row r="134" spans="2:5" x14ac:dyDescent="0.25">
      <c r="B134" t="s">
        <v>173</v>
      </c>
      <c r="C134" s="2">
        <f>IF(E134&gt;0,E134,0)</f>
      </c>
      <c r="D134" s="2">
        <f>IF(E134&lt;0,E134*-1,0)</f>
      </c>
      <c r="E134" s="2">
        <f>IFERROR(VLOOKUP(B134,$B$229:$C$286,2,FALSE),0)</f>
      </c>
    </row>
    <row r="135" spans="2:5" x14ac:dyDescent="0.25">
      <c r="B135" t="s">
        <v>174</v>
      </c>
      <c r="C135" s="2">
        <f>IF(E135&gt;0,E135,0)</f>
      </c>
      <c r="D135" s="2">
        <f>IF(E135&lt;0,E135*-1,0)</f>
      </c>
      <c r="E135" s="2">
        <f>IFERROR(VLOOKUP(B135,$B$229:$C$286,2,FALSE),0)</f>
      </c>
    </row>
    <row r="136" spans="2:5" x14ac:dyDescent="0.25">
      <c r="B136" t="s">
        <v>175</v>
      </c>
      <c r="C136" s="2">
        <f>IF(E136&gt;0,E136,0)</f>
      </c>
      <c r="D136" s="2">
        <f>IF(E136&lt;0,E136*-1,0)</f>
      </c>
      <c r="E136" s="2">
        <f>IFERROR(VLOOKUP(B136,$B$229:$C$286,2,FALSE),0)</f>
      </c>
    </row>
    <row r="137" spans="2:5" x14ac:dyDescent="0.25">
      <c r="B137" t="s">
        <v>176</v>
      </c>
      <c r="C137" s="2">
        <f>IF(E137&gt;0,E137,0)</f>
      </c>
      <c r="D137" s="2">
        <f>IF(E137&lt;0,E137*-1,0)</f>
      </c>
      <c r="E137" s="2">
        <f>IFERROR(VLOOKUP(B137,$B$229:$C$286,2,FALSE),0)</f>
      </c>
    </row>
    <row r="138" spans="2:5" x14ac:dyDescent="0.25">
      <c r="B138" t="s">
        <v>177</v>
      </c>
      <c r="C138" s="2">
        <f>IF(E138&gt;0,E138,0)</f>
      </c>
      <c r="D138" s="2">
        <f>IF(E138&lt;0,E138*-1,0)</f>
      </c>
      <c r="E138" s="2">
        <f>IFERROR(VLOOKUP(B138,$B$229:$C$286,2,FALSE),0)</f>
      </c>
    </row>
    <row r="139" spans="2:5" x14ac:dyDescent="0.25">
      <c r="B139" t="s">
        <v>178</v>
      </c>
      <c r="C139" s="2">
        <f>IF(E139&gt;0,E139,0)</f>
      </c>
      <c r="D139" s="2">
        <f>IF(E139&lt;0,E139*-1,0)</f>
      </c>
      <c r="E139" s="2">
        <f>IFERROR(VLOOKUP(B139,$B$229:$C$286,2,FALSE),0)</f>
      </c>
    </row>
    <row r="140" spans="2:5" x14ac:dyDescent="0.25">
      <c r="B140" t="s">
        <v>179</v>
      </c>
      <c r="C140" s="2">
        <f>IF(E140&gt;0,E140,0)</f>
      </c>
      <c r="D140" s="2">
        <f>IF(E140&lt;0,E140*-1,0)</f>
      </c>
      <c r="E140" s="2">
        <f>IFERROR(VLOOKUP(B140,$B$229:$C$286,2,FALSE),0)</f>
      </c>
    </row>
    <row r="141" spans="2:5" x14ac:dyDescent="0.25">
      <c r="B141" t="s">
        <v>180</v>
      </c>
      <c r="C141" s="2">
        <f>IF(E141&gt;0,E141,0)</f>
      </c>
      <c r="D141" s="2">
        <f>IF(E141&lt;0,E141*-1,0)</f>
      </c>
      <c r="E141" s="2">
        <f>IFERROR(VLOOKUP(B141,$B$229:$C$286,2,FALSE),0)</f>
      </c>
    </row>
    <row r="142" spans="2:5" x14ac:dyDescent="0.25">
      <c r="B142" t="s">
        <v>181</v>
      </c>
      <c r="C142" s="2">
        <f>IF(E142&gt;0,E142,0)</f>
      </c>
      <c r="D142" s="2">
        <f>IF(E142&lt;0,E142*-1,0)</f>
      </c>
      <c r="E142" s="2">
        <f>IFERROR(VLOOKUP(B142,$B$229:$C$286,2,FALSE),0)</f>
      </c>
    </row>
    <row r="143" spans="2:5" x14ac:dyDescent="0.25">
      <c r="B143" t="s">
        <v>182</v>
      </c>
      <c r="C143" s="2">
        <f>IF(E143&gt;0,E143,0)</f>
        <v>27617.54</v>
      </c>
      <c r="D143" s="2">
        <f>IF(E143&lt;0,E143*-1,0)</f>
      </c>
      <c r="E143" s="2">
        <f>IFERROR(VLOOKUP(B143,$B$229:$C$286,2,FALSE),0)</f>
        <v>27617.54</v>
      </c>
    </row>
    <row r="144" spans="2:5" x14ac:dyDescent="0.25">
      <c r="B144" t="s">
        <v>183</v>
      </c>
      <c r="C144" s="2">
        <f>IF(E144&gt;0,E144,0)</f>
      </c>
      <c r="D144" s="2">
        <f>IF(E144&lt;0,E144*-1,0)</f>
      </c>
      <c r="E144" s="2">
        <f>IFERROR(VLOOKUP(B144,$B$229:$C$286,2,FALSE),0)</f>
      </c>
    </row>
    <row r="145" spans="2:5" x14ac:dyDescent="0.25">
      <c r="B145" t="s">
        <v>184</v>
      </c>
      <c r="C145" s="2">
        <f>IF(E145&gt;0,E145,0)</f>
        <v>1776.98</v>
      </c>
      <c r="D145" s="2">
        <f>IF(E145&lt;0,E145*-1,0)</f>
      </c>
      <c r="E145" s="2">
        <f>IFERROR(VLOOKUP(B145,$B$229:$C$286,2,FALSE),0)</f>
        <v>1776.98</v>
      </c>
    </row>
    <row r="146" spans="2:5" x14ac:dyDescent="0.25">
      <c r="B146" t="s">
        <v>185</v>
      </c>
      <c r="C146" s="2">
        <f>IF(E146&gt;0,E146,0)</f>
      </c>
      <c r="D146" s="2">
        <f>IF(E146&lt;0,E146*-1,0)</f>
      </c>
      <c r="E146" s="2">
        <f>IFERROR(VLOOKUP(B146,$B$229:$C$286,2,FALSE),0)</f>
      </c>
    </row>
    <row r="147" spans="2:5" x14ac:dyDescent="0.25">
      <c r="B147" t="s">
        <v>186</v>
      </c>
      <c r="C147" s="2">
        <f>IF(E147&gt;0,E147,0)</f>
      </c>
      <c r="D147" s="2">
        <f>IF(E147&lt;0,E147*-1,0)</f>
      </c>
      <c r="E147" s="2">
        <f>IFERROR(VLOOKUP(B147,$B$229:$C$286,2,FALSE),0)</f>
      </c>
    </row>
    <row r="148" spans="2:5" x14ac:dyDescent="0.25">
      <c r="B148" t="s">
        <v>187</v>
      </c>
      <c r="C148" s="2">
        <f>IF(E148&gt;0,E148,0)</f>
        <v>8674.63</v>
      </c>
      <c r="D148" s="2">
        <f>IF(E148&lt;0,E148*-1,0)</f>
      </c>
      <c r="E148" s="2">
        <f>IFERROR(VLOOKUP(B148,$B$229:$C$286,2,FALSE),0)</f>
        <v>8674.63</v>
      </c>
    </row>
    <row r="149" spans="2:5" x14ac:dyDescent="0.25">
      <c r="B149" t="s">
        <v>188</v>
      </c>
      <c r="C149" s="2">
        <f>IF(E149&gt;0,E149,0)</f>
      </c>
      <c r="D149" s="2">
        <f>IF(E149&lt;0,E149*-1,0)</f>
      </c>
      <c r="E149" s="2">
        <f>IFERROR(VLOOKUP(B149,$B$229:$C$286,2,FALSE),0)</f>
      </c>
    </row>
    <row r="150" spans="2:5" x14ac:dyDescent="0.25">
      <c r="B150" t="s">
        <v>189</v>
      </c>
      <c r="C150" s="2">
        <f>IF(E150&gt;0,E150,0)</f>
        <v>1633.99</v>
      </c>
      <c r="D150" s="2">
        <f>IF(E150&lt;0,E150*-1,0)</f>
      </c>
      <c r="E150" s="2">
        <f>IFERROR(VLOOKUP(B150,$B$229:$C$286,2,FALSE),0)</f>
        <v>1633.99</v>
      </c>
    </row>
    <row r="151" spans="2:5" x14ac:dyDescent="0.25">
      <c r="B151" t="s">
        <v>190</v>
      </c>
      <c r="C151" s="2">
        <f>IF(E151&gt;0,E151,0)</f>
      </c>
      <c r="D151" s="2">
        <f>IF(E151&lt;0,E151*-1,0)</f>
      </c>
      <c r="E151" s="2">
        <f>IFERROR(VLOOKUP(B151,$B$229:$C$286,2,FALSE),0)</f>
      </c>
    </row>
    <row r="152" spans="2:5" x14ac:dyDescent="0.25">
      <c r="B152" t="s">
        <v>191</v>
      </c>
      <c r="C152" s="2">
        <f>IF(E152&gt;0,E152,0)</f>
      </c>
      <c r="D152" s="2">
        <f>IF(E152&lt;0,E152*-1,0)</f>
      </c>
      <c r="E152" s="2">
        <f>IFERROR(VLOOKUP(B152,$B$229:$C$286,2,FALSE),0)</f>
      </c>
    </row>
    <row r="153" spans="2:5" x14ac:dyDescent="0.25">
      <c r="B153" t="s">
        <v>192</v>
      </c>
      <c r="C153" s="2">
        <f>IF(E153&gt;0,E153,0)</f>
      </c>
      <c r="D153" s="2">
        <f>IF(E153&lt;0,E153*-1,0)</f>
      </c>
      <c r="E153" s="2">
        <f>IFERROR(VLOOKUP(B153,$B$229:$C$286,2,FALSE),0)</f>
      </c>
    </row>
    <row r="154" spans="2:5" x14ac:dyDescent="0.25">
      <c r="B154" t="s">
        <v>193</v>
      </c>
      <c r="C154" s="2">
        <f>IF(E154&gt;0,E154,0)</f>
      </c>
      <c r="D154" s="2">
        <f>IF(E154&lt;0,E154*-1,0)</f>
      </c>
      <c r="E154" s="2">
        <f>IFERROR(VLOOKUP(B154,$B$229:$C$286,2,FALSE),0)</f>
      </c>
    </row>
    <row r="155" spans="2:5" x14ac:dyDescent="0.25">
      <c r="B155" t="s">
        <v>194</v>
      </c>
      <c r="C155" s="2">
        <f>IF(E155&gt;0,E155,0)</f>
        <v>18657.100000000002</v>
      </c>
      <c r="D155" s="2">
        <f>IF(E155&lt;0,E155*-1,0)</f>
      </c>
      <c r="E155" s="2">
        <f>IFERROR(VLOOKUP(B155,$B$229:$C$286,2,FALSE),0)</f>
        <v>18657.100000000002</v>
      </c>
    </row>
    <row r="156" spans="2:5" x14ac:dyDescent="0.25">
      <c r="B156" t="s">
        <v>195</v>
      </c>
      <c r="C156" s="2">
        <f>IF(E156&gt;0,E156,0)</f>
      </c>
      <c r="D156" s="2">
        <f>IF(E156&lt;0,E156*-1,0)</f>
      </c>
      <c r="E156" s="2">
        <f>IFERROR(VLOOKUP(B156,$B$229:$C$286,2,FALSE),0)</f>
      </c>
    </row>
    <row r="157" spans="2:5" x14ac:dyDescent="0.25">
      <c r="B157" t="s">
        <v>196</v>
      </c>
      <c r="C157" s="2">
        <f>IF(E157&gt;0,E157,0)</f>
      </c>
      <c r="D157" s="2">
        <f>IF(E157&lt;0,E157*-1,0)</f>
        <v>17162.57</v>
      </c>
      <c r="E157" s="2">
        <f>IFERROR(VLOOKUP(B157,$B$229:$C$286,2,FALSE),0)</f>
        <v>-17162.57</v>
      </c>
    </row>
    <row r="158" spans="2:5" x14ac:dyDescent="0.25">
      <c r="B158" t="s">
        <v>197</v>
      </c>
      <c r="C158" s="2">
        <f>IF(E158&gt;0,E158,0)</f>
      </c>
      <c r="D158" s="2">
        <f>IF(E158&lt;0,E158*-1,0)</f>
      </c>
      <c r="E158" s="2">
        <f>IFERROR(VLOOKUP(B158,$B$229:$C$286,2,FALSE),0)</f>
      </c>
    </row>
    <row r="159" spans="2:5" x14ac:dyDescent="0.25">
      <c r="B159" t="s">
        <v>198</v>
      </c>
      <c r="C159" s="2">
        <f>IF(E159&gt;0,E159,0)</f>
      </c>
      <c r="D159" s="2">
        <f>IF(E159&lt;0,E159*-1,0)</f>
      </c>
      <c r="E159" s="2">
        <f>IFERROR(VLOOKUP(B159,$B$229:$C$286,2,FALSE),0)</f>
      </c>
    </row>
    <row r="160" spans="2:5" x14ac:dyDescent="0.25">
      <c r="B160" t="s">
        <v>199</v>
      </c>
      <c r="C160" s="2">
        <f>IF(E160&gt;0,E160,0)</f>
      </c>
      <c r="D160" s="2">
        <f>IF(E160&lt;0,E160*-1,0)</f>
      </c>
      <c r="E160" s="2">
        <f>IFERROR(VLOOKUP(B160,$B$229:$C$286,2,FALSE),0)</f>
      </c>
    </row>
    <row r="161" spans="2:5" x14ac:dyDescent="0.25">
      <c r="B161" t="s">
        <v>200</v>
      </c>
      <c r="C161" s="2">
        <f>IF(E161&gt;0,E161,0)</f>
      </c>
      <c r="D161" s="2">
        <f>IF(E161&lt;0,E161*-1,0)</f>
      </c>
      <c r="E161" s="2">
        <f>IFERROR(VLOOKUP(B161,$B$229:$C$286,2,FALSE),0)</f>
      </c>
    </row>
    <row r="162" spans="2:5" x14ac:dyDescent="0.25">
      <c r="B162" t="s">
        <v>201</v>
      </c>
      <c r="C162" s="2">
        <f>IF(E162&gt;0,E162,0)</f>
      </c>
      <c r="D162" s="2">
        <f>IF(E162&lt;0,E162*-1,0)</f>
      </c>
      <c r="E162" s="2">
        <f>IFERROR(VLOOKUP(B162,$B$229:$C$286,2,FALSE),0)</f>
      </c>
    </row>
    <row r="163" spans="2:5" x14ac:dyDescent="0.25">
      <c r="B163" t="s">
        <v>202</v>
      </c>
      <c r="C163" s="2">
        <f>IF(E163&gt;0,E163,0)</f>
      </c>
      <c r="D163" s="2">
        <f>IF(E163&lt;0,E163*-1,0)</f>
      </c>
      <c r="E163" s="2">
        <f>IFERROR(VLOOKUP(B163,$B$229:$C$286,2,FALSE),0)</f>
      </c>
    </row>
    <row r="164" spans="2:5" x14ac:dyDescent="0.25">
      <c r="B164" t="s">
        <v>203</v>
      </c>
      <c r="C164" s="2">
        <f>IF(E164&gt;0,E164,0)</f>
      </c>
      <c r="D164" s="2">
        <f>IF(E164&lt;0,E164*-1,0)</f>
      </c>
      <c r="E164" s="2">
        <f>IFERROR(VLOOKUP(B164,$B$229:$C$286,2,FALSE),0)</f>
      </c>
    </row>
    <row r="165" spans="2:5" x14ac:dyDescent="0.25">
      <c r="B165" t="s">
        <v>204</v>
      </c>
      <c r="C165" s="2">
        <f>IF(E165&gt;0,E165,0)</f>
        <v>37882.9</v>
      </c>
      <c r="D165" s="2">
        <f>IF(E165&lt;0,E165*-1,0)</f>
      </c>
      <c r="E165" s="2">
        <f>IFERROR(VLOOKUP(B165,$B$229:$C$286,2,FALSE),0)</f>
        <v>37882.9</v>
      </c>
    </row>
    <row r="166" spans="2:5" x14ac:dyDescent="0.25">
      <c r="B166" t="s">
        <v>205</v>
      </c>
      <c r="C166" s="2">
        <f>IF(E166&gt;0,E166,0)</f>
        <v>1732.02</v>
      </c>
      <c r="D166" s="2">
        <f>IF(E166&lt;0,E166*-1,0)</f>
      </c>
      <c r="E166" s="2">
        <f>IFERROR(VLOOKUP(B166,$B$229:$C$286,2,FALSE),0)</f>
        <v>1732.02</v>
      </c>
    </row>
    <row r="167" spans="2:5" x14ac:dyDescent="0.25">
      <c r="B167" t="s">
        <v>206</v>
      </c>
      <c r="C167" s="2">
        <f>IF(E167&gt;0,E167,0)</f>
      </c>
      <c r="D167" s="2">
        <f>IF(E167&lt;0,E167*-1,0)</f>
      </c>
      <c r="E167" s="2">
        <f>IFERROR(VLOOKUP(B167,$B$229:$C$286,2,FALSE),0)</f>
      </c>
    </row>
    <row r="168" spans="2:5" x14ac:dyDescent="0.25">
      <c r="B168" t="s">
        <v>207</v>
      </c>
      <c r="C168" s="2">
        <f>IF(E168&gt;0,E168,0)</f>
      </c>
      <c r="D168" s="2">
        <f>IF(E168&lt;0,E168*-1,0)</f>
      </c>
      <c r="E168" s="2">
        <f>IFERROR(VLOOKUP(B168,$B$229:$C$286,2,FALSE),0)</f>
      </c>
    </row>
    <row r="169" spans="2:5" x14ac:dyDescent="0.25">
      <c r="B169" t="s">
        <v>208</v>
      </c>
      <c r="C169" s="2">
        <f>IF(E169&gt;0,E169,0)</f>
        <v>178280.72</v>
      </c>
      <c r="D169" s="2">
        <f>IF(E169&lt;0,E169*-1,0)</f>
      </c>
      <c r="E169" s="2">
        <f>IFERROR(VLOOKUP(B169,$B$229:$C$286,2,FALSE),0)</f>
        <v>178280.72</v>
      </c>
    </row>
    <row r="170" spans="2:5" x14ac:dyDescent="0.25">
      <c r="B170" t="s">
        <v>209</v>
      </c>
      <c r="C170" s="2">
        <f>IF(E170&gt;0,E170,0)</f>
      </c>
      <c r="D170" s="2">
        <f>IF(E170&lt;0,E170*-1,0)</f>
      </c>
      <c r="E170" s="2">
        <f>IFERROR(VLOOKUP(B170,$B$229:$C$286,2,FALSE),0)</f>
      </c>
    </row>
    <row r="171" spans="2:5" x14ac:dyDescent="0.25">
      <c r="B171" t="s">
        <v>210</v>
      </c>
      <c r="C171" s="2">
        <f>IF(E171&gt;0,E171,0)</f>
        <v>1760.8</v>
      </c>
      <c r="D171" s="2">
        <f>IF(E171&lt;0,E171*-1,0)</f>
      </c>
      <c r="E171" s="2">
        <f>IFERROR(VLOOKUP(B171,$B$229:$C$286,2,FALSE),0)</f>
        <v>1760.8</v>
      </c>
    </row>
    <row r="172" spans="2:5" x14ac:dyDescent="0.25">
      <c r="B172" t="s">
        <v>211</v>
      </c>
      <c r="C172" s="2">
        <f>IF(E172&gt;0,E172,0)</f>
      </c>
      <c r="D172" s="2">
        <f>IF(E172&lt;0,E172*-1,0)</f>
      </c>
      <c r="E172" s="2">
        <f>IFERROR(VLOOKUP(B172,$B$229:$C$286,2,FALSE),0)</f>
      </c>
    </row>
    <row r="173" spans="2:5" x14ac:dyDescent="0.25">
      <c r="B173" t="s">
        <v>212</v>
      </c>
      <c r="C173" s="2">
        <f>IF(E173&gt;0,E173,0)</f>
      </c>
      <c r="D173" s="2">
        <f>IF(E173&lt;0,E173*-1,0)</f>
      </c>
      <c r="E173" s="2">
        <f>IFERROR(VLOOKUP(B173,$B$229:$C$286,2,FALSE),0)</f>
      </c>
    </row>
    <row r="174" spans="2:5" x14ac:dyDescent="0.25">
      <c r="B174" t="s">
        <v>213</v>
      </c>
      <c r="C174" s="2">
        <f>IF(E174&gt;0,E174,0)</f>
      </c>
      <c r="D174" s="2">
        <f>IF(E174&lt;0,E174*-1,0)</f>
        <v>89628.1</v>
      </c>
      <c r="E174" s="2">
        <f>IFERROR(VLOOKUP(B174,$B$229:$C$286,2,FALSE),0)</f>
        <v>-89628.1</v>
      </c>
    </row>
    <row r="175" spans="2:5" x14ac:dyDescent="0.25">
      <c r="B175" t="s">
        <v>214</v>
      </c>
      <c r="C175" s="2">
        <f>IF(E175&gt;0,E175,0)</f>
      </c>
      <c r="D175" s="2">
        <f>IF(E175&lt;0,E175*-1,0)</f>
      </c>
      <c r="E175" s="2">
        <f>IFERROR(VLOOKUP(B175,$B$229:$C$286,2,FALSE),0)</f>
      </c>
    </row>
    <row r="176" spans="2:5" x14ac:dyDescent="0.25">
      <c r="B176" t="s">
        <v>215</v>
      </c>
      <c r="C176" s="2">
        <f>IF(E176&gt;0,E176,0)</f>
      </c>
      <c r="D176" s="2">
        <f>IF(E176&lt;0,E176*-1,0)</f>
      </c>
      <c r="E176" s="2">
        <f>IFERROR(VLOOKUP(B176,$B$229:$C$286,2,FALSE),0)</f>
      </c>
    </row>
    <row r="177" spans="2:5" x14ac:dyDescent="0.25">
      <c r="B177" t="s">
        <v>216</v>
      </c>
      <c r="C177" s="2">
        <f>IF(E177&gt;0,E177,0)</f>
        <v>1030.3</v>
      </c>
      <c r="D177" s="2">
        <f>IF(E177&lt;0,E177*-1,0)</f>
      </c>
      <c r="E177" s="2">
        <f>IFERROR(VLOOKUP(B177,$B$229:$C$286,2,FALSE),0)</f>
        <v>1030.3</v>
      </c>
    </row>
    <row r="178" spans="2:5" x14ac:dyDescent="0.25">
      <c r="B178" t="s">
        <v>217</v>
      </c>
      <c r="C178" s="2">
        <f>IF(E178&gt;0,E178,0)</f>
      </c>
      <c r="D178" s="2">
        <f>IF(E178&lt;0,E178*-1,0)</f>
      </c>
      <c r="E178" s="2">
        <f>IFERROR(VLOOKUP(B178,$B$229:$C$286,2,FALSE),0)</f>
      </c>
    </row>
    <row r="179" spans="2:5" x14ac:dyDescent="0.25">
      <c r="B179" t="s">
        <v>218</v>
      </c>
      <c r="C179" s="2">
        <f>IF(E179&gt;0,E179,0)</f>
      </c>
      <c r="D179" s="2">
        <f>IF(E179&lt;0,E179*-1,0)</f>
      </c>
      <c r="E179" s="2">
        <f>IFERROR(VLOOKUP(B179,$B$229:$C$286,2,FALSE),0)</f>
      </c>
    </row>
    <row r="180" spans="2:5" x14ac:dyDescent="0.25">
      <c r="B180" t="s">
        <v>219</v>
      </c>
      <c r="C180" s="2">
        <f>IF(E180&gt;0,E180,0)</f>
        <v>251.68</v>
      </c>
      <c r="D180" s="2">
        <f>IF(E180&lt;0,E180*-1,0)</f>
      </c>
      <c r="E180" s="2">
        <f>IFERROR(VLOOKUP(B180,$B$229:$C$286,2,FALSE),0)</f>
        <v>251.68</v>
      </c>
    </row>
    <row r="181" spans="2:5" x14ac:dyDescent="0.25">
      <c r="B181" t="s">
        <v>220</v>
      </c>
      <c r="C181" s="2">
        <f>IF(E181&gt;0,E181,0)</f>
      </c>
      <c r="D181" s="2">
        <f>IF(E181&lt;0,E181*-1,0)</f>
      </c>
      <c r="E181" s="2">
        <f>IFERROR(VLOOKUP(B181,$B$229:$C$286,2,FALSE),0)</f>
      </c>
    </row>
    <row r="182" spans="2:5" x14ac:dyDescent="0.25">
      <c r="B182" t="s">
        <v>221</v>
      </c>
      <c r="C182" s="2">
        <f>IF(E182&gt;0,E182,0)</f>
      </c>
      <c r="D182" s="2">
        <f>IF(E182&lt;0,E182*-1,0)</f>
      </c>
      <c r="E182" s="2">
        <f>IFERROR(VLOOKUP(B182,$B$229:$C$286,2,FALSE),0)</f>
      </c>
    </row>
    <row r="183" spans="2:5" x14ac:dyDescent="0.25">
      <c r="B183" t="s">
        <v>222</v>
      </c>
      <c r="C183" s="2">
        <f>IF(E183&gt;0,E183,0)</f>
        <v>3033.18</v>
      </c>
      <c r="D183" s="2">
        <f>IF(E183&lt;0,E183*-1,0)</f>
      </c>
      <c r="E183" s="2">
        <f>IFERROR(VLOOKUP(B183,$B$229:$C$286,2,FALSE),0)</f>
        <v>3033.18</v>
      </c>
    </row>
    <row r="184" spans="2:5" x14ac:dyDescent="0.25">
      <c r="B184" t="s">
        <v>223</v>
      </c>
      <c r="C184" s="2">
        <f>IF(E184&gt;0,E184,0)</f>
      </c>
      <c r="D184" s="2">
        <f>IF(E184&lt;0,E184*-1,0)</f>
      </c>
      <c r="E184" s="2">
        <f>IFERROR(VLOOKUP(B184,$B$229:$C$286,2,FALSE),0)</f>
      </c>
    </row>
    <row r="185" spans="2:5" x14ac:dyDescent="0.25">
      <c r="B185" t="s">
        <v>224</v>
      </c>
      <c r="C185" s="2">
        <f>IF(E185&gt;0,E185,0)</f>
      </c>
      <c r="D185" s="2">
        <f>IF(E185&lt;0,E185*-1,0)</f>
        <v>5088.91</v>
      </c>
      <c r="E185" s="2">
        <f>IFERROR(VLOOKUP(B185,$B$229:$C$286,2,FALSE),0)</f>
        <v>-5088.91</v>
      </c>
    </row>
    <row r="186" spans="2:5" x14ac:dyDescent="0.25">
      <c r="B186" t="s">
        <v>225</v>
      </c>
      <c r="C186" s="2">
        <f>IF(E186&gt;0,E186,0)</f>
      </c>
      <c r="D186" s="2">
        <f>IF(E186&lt;0,E186*-1,0)</f>
      </c>
      <c r="E186" s="2">
        <f>IFERROR(VLOOKUP(B186,$B$229:$C$286,2,FALSE),0)</f>
      </c>
    </row>
    <row r="187" spans="2:5" x14ac:dyDescent="0.25">
      <c r="B187" t="s">
        <v>226</v>
      </c>
      <c r="C187" s="2">
        <f>IF(E187&gt;0,E187,0)</f>
      </c>
      <c r="D187" s="2">
        <f>IF(E187&lt;0,E187*-1,0)</f>
      </c>
      <c r="E187" s="2">
        <f>IFERROR(VLOOKUP(B187,$B$229:$C$286,2,FALSE),0)</f>
      </c>
    </row>
    <row r="188" spans="2:5" x14ac:dyDescent="0.25">
      <c r="B188" t="s">
        <v>227</v>
      </c>
      <c r="C188" s="2">
        <f>IF(E188&gt;0,E188,0)</f>
      </c>
      <c r="D188" s="2">
        <f>IF(E188&lt;0,E188*-1,0)</f>
      </c>
      <c r="E188" s="2">
        <f>IFERROR(VLOOKUP(B188,$B$229:$C$286,2,FALSE),0)</f>
      </c>
    </row>
    <row r="189" spans="2:5" x14ac:dyDescent="0.25">
      <c r="B189" t="s">
        <v>228</v>
      </c>
      <c r="C189" s="2">
        <f>IF(E189&gt;0,E189,0)</f>
      </c>
      <c r="D189" s="2">
        <f>IF(E189&lt;0,E189*-1,0)</f>
      </c>
      <c r="E189" s="2">
        <f>IFERROR(VLOOKUP(B189,$B$229:$C$286,2,FALSE),0)</f>
      </c>
    </row>
    <row r="190" spans="2:5" x14ac:dyDescent="0.25">
      <c r="B190" t="s">
        <v>229</v>
      </c>
      <c r="C190" s="2">
        <f>IF(E190&gt;0,E190,0)</f>
        <v>2084.42</v>
      </c>
      <c r="D190" s="2">
        <f>IF(E190&lt;0,E190*-1,0)</f>
      </c>
      <c r="E190" s="2">
        <f>IFERROR(VLOOKUP(B190,$B$229:$C$286,2,FALSE),0)</f>
        <v>2084.42</v>
      </c>
    </row>
    <row r="191" spans="2:5" x14ac:dyDescent="0.25">
      <c r="B191" t="s">
        <v>230</v>
      </c>
      <c r="C191" s="2">
        <f>IF(E191&gt;0,E191,0)</f>
      </c>
      <c r="D191" s="2">
        <f>IF(E191&lt;0,E191*-1,0)</f>
      </c>
      <c r="E191" s="2">
        <f>IFERROR(VLOOKUP(B191,$B$229:$C$286,2,FALSE),0)</f>
      </c>
    </row>
    <row r="192" spans="2:5" x14ac:dyDescent="0.25">
      <c r="B192" t="s">
        <v>231</v>
      </c>
      <c r="C192" s="2">
        <f>IF(E192&gt;0,E192,0)</f>
      </c>
      <c r="D192" s="2">
        <f>IF(E192&lt;0,E192*-1,0)</f>
      </c>
      <c r="E192" s="2">
        <f>IFERROR(VLOOKUP(B192,$B$229:$C$286,2,FALSE),0)</f>
      </c>
    </row>
    <row r="193" spans="2:5" x14ac:dyDescent="0.25">
      <c r="B193" t="s">
        <v>232</v>
      </c>
      <c r="C193" s="2">
        <f>IF(E193&gt;0,E193,0)</f>
      </c>
      <c r="D193" s="2">
        <f>IF(E193&lt;0,E193*-1,0)</f>
      </c>
      <c r="E193" s="2">
        <f>IFERROR(VLOOKUP(B193,$B$229:$C$286,2,FALSE),0)</f>
      </c>
    </row>
    <row r="194" spans="2:5" x14ac:dyDescent="0.25">
      <c r="B194" t="s">
        <v>233</v>
      </c>
      <c r="C194" s="2">
        <f>IF(E194&gt;0,E194,0)</f>
      </c>
      <c r="D194" s="2">
        <f>IF(E194&lt;0,E194*-1,0)</f>
      </c>
      <c r="E194" s="2">
        <f>IFERROR(VLOOKUP(B194,$B$229:$C$286,2,FALSE),0)</f>
      </c>
    </row>
    <row r="195" spans="2:5" x14ac:dyDescent="0.25">
      <c r="B195" t="s">
        <v>234</v>
      </c>
      <c r="C195" s="2">
        <f>IF(E195&gt;0,E195,0)</f>
      </c>
      <c r="D195" s="2">
        <f>IF(E195&lt;0,E195*-1,0)</f>
      </c>
      <c r="E195" s="2">
        <f>IFERROR(VLOOKUP(B195,$B$229:$C$286,2,FALSE),0)</f>
      </c>
    </row>
    <row r="196" spans="2:5" x14ac:dyDescent="0.25">
      <c r="B196" t="s">
        <v>235</v>
      </c>
      <c r="C196" s="2">
        <f>IF(E196&gt;0,E196,0)</f>
      </c>
      <c r="D196" s="2">
        <f>IF(E196&lt;0,E196*-1,0)</f>
      </c>
      <c r="E196" s="2">
        <f>IFERROR(VLOOKUP(B196,$B$229:$C$286,2,FALSE),0)</f>
      </c>
    </row>
    <row r="197" spans="2:5" x14ac:dyDescent="0.25">
      <c r="B197" t="s">
        <v>236</v>
      </c>
      <c r="C197" s="2">
        <f>IF(E197&gt;0,E197,0)</f>
      </c>
      <c r="D197" s="2">
        <f>IF(E197&lt;0,E197*-1,0)</f>
      </c>
      <c r="E197" s="2">
        <f>IFERROR(VLOOKUP(B197,$B$229:$C$286,2,FALSE),0)</f>
      </c>
    </row>
    <row r="198" spans="2:5" x14ac:dyDescent="0.25">
      <c r="B198" t="s">
        <v>237</v>
      </c>
      <c r="C198" s="2">
        <f>IF(E198&gt;0,E198,0)</f>
      </c>
      <c r="D198" s="2">
        <f>IF(E198&lt;0,E198*-1,0)</f>
      </c>
      <c r="E198" s="2">
        <f>IFERROR(VLOOKUP(B198,$B$229:$C$286,2,FALSE),0)</f>
      </c>
    </row>
    <row r="199" spans="2:5" x14ac:dyDescent="0.25">
      <c r="B199" t="s">
        <v>238</v>
      </c>
      <c r="C199" s="2">
        <f>IF(E199&gt;0,E199,0)</f>
        <v>33252.28</v>
      </c>
      <c r="D199" s="2">
        <f>IF(E199&lt;0,E199*-1,0)</f>
      </c>
      <c r="E199" s="2">
        <f>IFERROR(VLOOKUP(B199,$B$229:$C$286,2,FALSE),0)</f>
        <v>33252.28</v>
      </c>
    </row>
    <row r="200" spans="2:5" x14ac:dyDescent="0.25">
      <c r="B200" t="s">
        <v>239</v>
      </c>
      <c r="C200" s="2">
        <f>IF(E200&gt;0,E200,0)</f>
      </c>
      <c r="D200" s="2">
        <f>IF(E200&lt;0,E200*-1,0)</f>
      </c>
      <c r="E200" s="2">
        <f>IFERROR(VLOOKUP(B200,$B$229:$C$286,2,FALSE),0)</f>
      </c>
    </row>
    <row r="201" spans="2:5" x14ac:dyDescent="0.25">
      <c r="B201" t="s">
        <v>240</v>
      </c>
      <c r="C201" s="2">
        <f>IF(E201&gt;0,E201,0)</f>
      </c>
      <c r="D201" s="2">
        <f>IF(E201&lt;0,E201*-1,0)</f>
      </c>
      <c r="E201" s="2">
        <f>IFERROR(VLOOKUP(B201,$B$229:$C$286,2,FALSE),0)</f>
      </c>
    </row>
    <row r="202" spans="2:5" x14ac:dyDescent="0.25">
      <c r="B202" t="s">
        <v>241</v>
      </c>
      <c r="C202" s="2">
        <f>IF(E202&gt;0,E202,0)</f>
      </c>
      <c r="D202" s="2">
        <f>IF(E202&lt;0,E202*-1,0)</f>
      </c>
      <c r="E202" s="2">
        <f>IFERROR(VLOOKUP(B202,$B$229:$C$286,2,FALSE),0)</f>
      </c>
    </row>
    <row r="203" spans="2:5" x14ac:dyDescent="0.25">
      <c r="B203" t="s">
        <v>242</v>
      </c>
      <c r="C203" s="2">
        <f>IF(E203&gt;0,E203,0)</f>
        <v>275.24</v>
      </c>
      <c r="D203" s="2">
        <f>IF(E203&lt;0,E203*-1,0)</f>
      </c>
      <c r="E203" s="2">
        <f>IFERROR(VLOOKUP(B203,$B$229:$C$286,2,FALSE),0)</f>
        <v>275.24</v>
      </c>
    </row>
    <row r="204" spans="2:5" x14ac:dyDescent="0.25">
      <c r="B204" t="s">
        <v>243</v>
      </c>
      <c r="C204" s="2">
        <f>IF(E204&gt;0,E204,0)</f>
      </c>
      <c r="D204" s="2">
        <f>IF(E204&lt;0,E204*-1,0)</f>
      </c>
      <c r="E204" s="2">
        <f>IFERROR(VLOOKUP(B204,$B$229:$C$286,2,FALSE),0)</f>
      </c>
    </row>
    <row r="205" spans="2:5" x14ac:dyDescent="0.25">
      <c r="B205" t="s">
        <v>244</v>
      </c>
      <c r="C205" s="2">
        <f>IF(E205&gt;0,E205,0)</f>
      </c>
      <c r="D205" s="2">
        <f>IF(E205&lt;0,E205*-1,0)</f>
      </c>
      <c r="E205" s="2">
        <f>IFERROR(VLOOKUP(B205,$B$229:$C$286,2,FALSE),0)</f>
      </c>
    </row>
    <row r="206" spans="2:5" x14ac:dyDescent="0.25">
      <c r="B206" t="s">
        <v>245</v>
      </c>
      <c r="C206" s="2">
        <f>IF(E206&gt;0,E206,0)</f>
      </c>
      <c r="D206" s="2">
        <f>IF(E206&lt;0,E206*-1,0)</f>
      </c>
      <c r="E206" s="2">
        <f>IFERROR(VLOOKUP(B206,$B$229:$C$286,2,FALSE),0)</f>
      </c>
    </row>
    <row r="207" spans="2:5" x14ac:dyDescent="0.25">
      <c r="B207" t="s">
        <v>246</v>
      </c>
      <c r="C207" s="2">
        <f>IF(E207&gt;0,E207,0)</f>
      </c>
      <c r="D207" s="2">
        <f>IF(E207&lt;0,E207*-1,0)</f>
      </c>
      <c r="E207" s="2">
        <f>IFERROR(VLOOKUP(B207,$B$229:$C$286,2,FALSE),0)</f>
      </c>
    </row>
    <row r="208" spans="2:5" x14ac:dyDescent="0.25">
      <c r="B208" t="s">
        <v>247</v>
      </c>
      <c r="C208" s="2">
        <f>IF(E208&gt;0,E208,0)</f>
      </c>
      <c r="D208" s="2">
        <f>IF(E208&lt;0,E208*-1,0)</f>
      </c>
      <c r="E208" s="2">
        <f>IFERROR(VLOOKUP(B208,$B$229:$C$286,2,FALSE),0)</f>
      </c>
    </row>
    <row r="209" spans="2:5" x14ac:dyDescent="0.25">
      <c r="B209" t="s">
        <v>248</v>
      </c>
      <c r="C209" s="2">
        <f>IF(E209&gt;0,E209,0)</f>
        <v>5860.59</v>
      </c>
      <c r="D209" s="2">
        <f>IF(E209&lt;0,E209*-1,0)</f>
      </c>
      <c r="E209" s="2">
        <f>IFERROR(VLOOKUP(B209,$B$229:$C$286,2,FALSE),0)</f>
        <v>5860.59</v>
      </c>
    </row>
    <row r="210" spans="2:5" x14ac:dyDescent="0.25">
      <c r="B210" t="s">
        <v>249</v>
      </c>
      <c r="C210" s="2">
        <f>IF(E210&gt;0,E210,0)</f>
      </c>
      <c r="D210" s="2">
        <f>IF(E210&lt;0,E210*-1,0)</f>
      </c>
      <c r="E210" s="2">
        <f>IFERROR(VLOOKUP(B210,$B$229:$C$286,2,FALSE),0)</f>
      </c>
    </row>
    <row r="211" spans="2:5" x14ac:dyDescent="0.25">
      <c r="B211" t="s">
        <v>250</v>
      </c>
      <c r="C211" s="2">
        <f>IF(E211&gt;0,E211,0)</f>
      </c>
      <c r="D211" s="2">
        <f>IF(E211&lt;0,E211*-1,0)</f>
      </c>
      <c r="E211" s="2">
        <f>IFERROR(VLOOKUP(B211,$B$229:$C$286,2,FALSE),0)</f>
      </c>
    </row>
    <row r="212" spans="2:5" x14ac:dyDescent="0.25">
      <c r="B212" t="s">
        <v>251</v>
      </c>
      <c r="C212" s="2">
        <f>IF(E212&gt;0,E212,0)</f>
      </c>
      <c r="D212" s="2">
        <f>IF(E212&lt;0,E212*-1,0)</f>
      </c>
      <c r="E212" s="2">
        <f>IFERROR(VLOOKUP(B212,$B$229:$C$286,2,FALSE),0)</f>
      </c>
    </row>
    <row r="213" spans="2:5" x14ac:dyDescent="0.25">
      <c r="B213" t="s">
        <v>252</v>
      </c>
      <c r="C213" s="2">
        <f>IF(E213&gt;0,E213,0)</f>
      </c>
      <c r="D213" s="2">
        <f>IF(E213&lt;0,E213*-1,0)</f>
      </c>
      <c r="E213" s="2">
        <f>IFERROR(VLOOKUP(B213,$B$229:$C$286,2,FALSE),0)</f>
      </c>
    </row>
    <row r="214" spans="2:5" x14ac:dyDescent="0.25">
      <c r="B214" t="s">
        <v>253</v>
      </c>
      <c r="C214" s="2">
        <f>IF(E214&gt;0,E214,0)</f>
      </c>
      <c r="D214" s="2">
        <f>IF(E214&lt;0,E214*-1,0)</f>
      </c>
      <c r="E214" s="2">
        <f>IFERROR(VLOOKUP(B214,$B$229:$C$286,2,FALSE),0)</f>
      </c>
    </row>
    <row r="215" spans="2:5" x14ac:dyDescent="0.25">
      <c r="B215" t="s">
        <v>254</v>
      </c>
      <c r="C215" s="2">
        <f>IF(E215&gt;0,E215,0)</f>
      </c>
      <c r="D215" s="2">
        <f>IF(E215&lt;0,E215*-1,0)</f>
      </c>
      <c r="E215" s="2">
        <f>IFERROR(VLOOKUP(B215,$B$229:$C$286,2,FALSE),0)</f>
      </c>
    </row>
    <row r="216" spans="2:5" x14ac:dyDescent="0.25">
      <c r="B216" t="s">
        <v>255</v>
      </c>
      <c r="C216" s="2">
        <f>IF(E216&gt;0,E216,0)</f>
      </c>
      <c r="D216" s="2">
        <f>IF(E216&lt;0,E216*-1,0)</f>
      </c>
      <c r="E216" s="2">
        <f>IFERROR(VLOOKUP(B216,$B$229:$C$286,2,FALSE),0)</f>
      </c>
    </row>
    <row r="217" spans="2:5" x14ac:dyDescent="0.25">
      <c r="B217" t="s">
        <v>256</v>
      </c>
      <c r="C217" s="2">
        <f>IF(E217&gt;0,E217,0)</f>
      </c>
      <c r="D217" s="2">
        <f>IF(E217&lt;0,E217*-1,0)</f>
      </c>
      <c r="E217" s="2">
        <f>IFERROR(VLOOKUP(B217,$B$229:$C$286,2,FALSE),0)</f>
      </c>
    </row>
    <row r="218" spans="2:5" x14ac:dyDescent="0.25">
      <c r="B218" t="s">
        <v>257</v>
      </c>
      <c r="C218" s="2">
        <f>IF(E218&gt;0,E218,0)</f>
      </c>
      <c r="D218" s="2">
        <f>IF(E218&lt;0,E218*-1,0)</f>
      </c>
      <c r="E218" s="2">
        <f>IFERROR(VLOOKUP(B218,$B$229:$C$286,2,FALSE),0)</f>
      </c>
    </row>
    <row r="219" spans="2:5" x14ac:dyDescent="0.25">
      <c r="B219" t="s">
        <v>202</v>
      </c>
      <c r="C219" s="2">
        <f>IF(E219&gt;0,E219,0)</f>
      </c>
      <c r="D219" s="2">
        <f>IF(E219&lt;0,E219*-1,0)</f>
      </c>
      <c r="E219" s="2">
        <f>IFERROR(VLOOKUP(B219,$B$229:$C$286,2,FALSE),0)</f>
      </c>
    </row>
    <row r="220" spans="2:5" x14ac:dyDescent="0.25">
      <c r="B220" t="s">
        <v>258</v>
      </c>
      <c r="C220" s="2">
        <f>IF(E220&gt;0,E220,0)</f>
      </c>
      <c r="D220" s="2">
        <f>IF(E220&lt;0,E220*-1,0)</f>
      </c>
      <c r="E220" s="2">
        <f>IFERROR(VLOOKUP(B220,$B$229:$C$286,2,FALSE),0)</f>
      </c>
    </row>
    <row r="221" spans="2:5" x14ac:dyDescent="0.25">
      <c r="B221" t="s">
        <v>259</v>
      </c>
      <c r="C221" s="2">
        <f>IF(E221&gt;0,E221,0)</f>
        <v>61.24</v>
      </c>
      <c r="D221" s="2">
        <f>IF(E221&lt;0,E221*-1,0)</f>
      </c>
      <c r="E221" s="2">
        <f>IFERROR(VLOOKUP(B221,$B$229:$C$286,2,FALSE),0)</f>
        <v>61.24</v>
      </c>
    </row>
    <row r="222" spans="2:5" x14ac:dyDescent="0.25">
      <c r="B222" t="s">
        <v>260</v>
      </c>
      <c r="C222" s="2">
        <f>IF(E222&gt;0,E222,0)</f>
      </c>
      <c r="D222" s="2">
        <v>3231.776840406703</v>
      </c>
      <c r="E222" s="2">
        <v>-3231.7768404067</v>
      </c>
    </row>
    <row r="223" spans="5:5" x14ac:dyDescent="0.25">
      <c r="E223" s="2">
        <f>SUM(E119:E222)</f>
        <v>346618.12315959326</v>
      </c>
    </row>
    <row r="224" spans="3:7" x14ac:dyDescent="0.25">
      <c r="C224" s="2">
        <f>+SUM(C6:C223)</f>
        <v>719985.2412753208</v>
      </c>
      <c r="D224" s="2">
        <f>+SUM(D6:D222)</f>
        <v>719985.2412753204</v>
      </c>
      <c r="F224" s="2">
        <f>+C224-D224</f>
      </c>
      <c r="G224" t="s">
        <v>261</v>
      </c>
    </row>
    <row r="229" spans="2:3" x14ac:dyDescent="0.25">
      <c r="B229" t="s">
        <v>262</v>
      </c>
      <c r="C229" s="2" t="s">
        <v>263</v>
      </c>
    </row>
    <row r="230" spans="2:4" x14ac:dyDescent="0.25">
      <c r="B230" t="s">
        <v>7</v>
      </c>
      <c r="C230" s="4">
        <v>-904.9543669546964</v>
      </c>
      <c r="D230" s="2">
        <v>-904.9543669546964</v>
      </c>
    </row>
    <row r="231" spans="2:4" x14ac:dyDescent="0.25">
      <c r="B231" t="s">
        <v>9</v>
      </c>
      <c r="C231" s="4">
        <v>-85668.93436256825</v>
      </c>
      <c r="D231" s="2">
        <v>-85668.93436256825</v>
      </c>
    </row>
    <row r="232" spans="2:4" x14ac:dyDescent="0.25">
      <c r="B232" t="s">
        <v>11</v>
      </c>
      <c r="C232" s="4">
        <v>-2183.6621861907383</v>
      </c>
      <c r="D232" s="2">
        <v>-2183.6621861907383</v>
      </c>
    </row>
    <row r="233" spans="2:4" x14ac:dyDescent="0.25">
      <c r="B233" t="s">
        <v>12</v>
      </c>
      <c r="C233" s="4">
        <v>-338665.60591481486</v>
      </c>
      <c r="D233" s="2">
        <v>-338665.60591481486</v>
      </c>
    </row>
    <row r="234" spans="2:4" x14ac:dyDescent="0.25">
      <c r="B234" t="s">
        <v>14</v>
      </c>
      <c r="C234" s="4">
        <v>1039.325837714381</v>
      </c>
      <c r="D234" s="2">
        <v>1039.325837714381</v>
      </c>
    </row>
    <row r="235" spans="2:4" x14ac:dyDescent="0.25">
      <c r="B235" t="s">
        <v>16</v>
      </c>
      <c r="C235" s="4">
        <v>-371.40424666846536</v>
      </c>
      <c r="D235" s="2">
        <v>-371.40424666846536</v>
      </c>
    </row>
    <row r="236" spans="2:4" x14ac:dyDescent="0.25">
      <c r="B236" t="s">
        <v>17</v>
      </c>
      <c r="C236" s="4">
        <v>-655.718192196693</v>
      </c>
      <c r="D236" s="2">
        <v>-655.718192196693</v>
      </c>
    </row>
    <row r="237" spans="2:4" x14ac:dyDescent="0.25">
      <c r="B237" t="s">
        <v>18</v>
      </c>
      <c r="C237" s="4">
        <v>14061.316405145448</v>
      </c>
      <c r="D237" s="2">
        <v>14061.316405145448</v>
      </c>
    </row>
    <row r="238" spans="2:4" x14ac:dyDescent="0.25">
      <c r="B238" t="s">
        <v>20</v>
      </c>
      <c r="C238" s="4">
        <v>5457.478228925522</v>
      </c>
      <c r="D238" s="2">
        <v>5457.478228925522</v>
      </c>
    </row>
    <row r="239" spans="2:4" x14ac:dyDescent="0.25">
      <c r="B239" t="s">
        <v>21</v>
      </c>
      <c r="C239" s="4">
        <v>-170.54619465392256</v>
      </c>
      <c r="D239" s="2">
        <v>-170.54619465392256</v>
      </c>
    </row>
    <row r="240" spans="2:4" x14ac:dyDescent="0.25">
      <c r="B240" t="s">
        <v>23</v>
      </c>
      <c r="C240" s="4">
        <v>-682.1847786156902</v>
      </c>
      <c r="D240" s="2">
        <v>-682.1847786156902</v>
      </c>
    </row>
    <row r="241" spans="2:4" x14ac:dyDescent="0.25">
      <c r="B241" t="s">
        <v>25</v>
      </c>
      <c r="C241" s="4">
        <v>-28254.30057811749</v>
      </c>
      <c r="D241" s="2">
        <v>-28254.30057811749</v>
      </c>
    </row>
    <row r="242" spans="2:4" x14ac:dyDescent="0.25">
      <c r="B242" t="s">
        <v>26</v>
      </c>
      <c r="C242" s="4">
        <v>-3.2783412813544914</v>
      </c>
      <c r="D242" s="2">
        <v>-3.2783412813544914</v>
      </c>
    </row>
    <row r="243" spans="2:4" x14ac:dyDescent="0.25">
      <c r="B243" t="s">
        <v>28</v>
      </c>
      <c r="C243" s="4">
        <v>-70990.50351035231</v>
      </c>
      <c r="D243" s="2">
        <v>-70990.50351035231</v>
      </c>
    </row>
    <row r="244" spans="2:4" x14ac:dyDescent="0.25">
      <c r="B244" t="s">
        <v>42</v>
      </c>
      <c r="C244" s="4">
        <v>-12.632834167361073</v>
      </c>
      <c r="D244" s="2">
        <v>-12.632834167361073</v>
      </c>
    </row>
    <row r="245" spans="2:4" x14ac:dyDescent="0.25">
      <c r="B245" t="s">
        <v>47</v>
      </c>
      <c r="C245" s="4">
        <v>-293.35548614704425</v>
      </c>
      <c r="D245" s="2">
        <v>-293.35548614704425</v>
      </c>
    </row>
    <row r="246" spans="2:4" x14ac:dyDescent="0.25">
      <c r="B246" t="s">
        <v>48</v>
      </c>
      <c r="C246" s="4">
        <v>-8171.175100801328</v>
      </c>
      <c r="D246" s="2">
        <v>-8171.175100801328</v>
      </c>
    </row>
    <row r="247" spans="2:4" x14ac:dyDescent="0.25">
      <c r="B247" t="s">
        <v>60</v>
      </c>
      <c r="C247" s="4">
        <v>202.40026714355932</v>
      </c>
      <c r="D247" s="2">
        <v>202.40026714355932</v>
      </c>
    </row>
    <row r="248" spans="2:4" x14ac:dyDescent="0.25">
      <c r="B248" t="s">
        <v>62</v>
      </c>
      <c r="C248" s="4">
        <v>554.3808712659337</v>
      </c>
      <c r="D248" s="2">
        <v>554.3808712659337</v>
      </c>
    </row>
    <row r="249" spans="2:4" x14ac:dyDescent="0.25">
      <c r="B249" t="s">
        <v>72</v>
      </c>
      <c r="C249" s="4">
        <v>76974.84163933096</v>
      </c>
      <c r="D249" s="2">
        <v>76974.84163933096</v>
      </c>
    </row>
    <row r="250" spans="2:4" x14ac:dyDescent="0.25">
      <c r="B250" t="s">
        <v>78</v>
      </c>
      <c r="C250" s="4">
        <v>-27115.82167280576</v>
      </c>
      <c r="D250" s="2">
        <v>-27115.82167280576</v>
      </c>
    </row>
    <row r="251" spans="2:4" x14ac:dyDescent="0.25">
      <c r="B251" t="s">
        <v>100</v>
      </c>
      <c r="C251" s="4">
        <v>654.0772308209719</v>
      </c>
      <c r="D251" s="2">
        <v>654.0772308209719</v>
      </c>
    </row>
    <row r="252" spans="2:4" x14ac:dyDescent="0.25">
      <c r="B252" t="s">
        <v>104</v>
      </c>
      <c r="C252" s="4">
        <v>-0.00047752934503098314</v>
      </c>
      <c r="D252" s="2">
        <v>109231.90769221324</v>
      </c>
    </row>
    <row r="253" spans="2:4" x14ac:dyDescent="0.25">
      <c r="B253" t="s">
        <v>108</v>
      </c>
      <c r="C253" s="4">
        <v>109231.90769221324</v>
      </c>
      <c r="D253" s="2">
        <v>20201.505581806403</v>
      </c>
    </row>
    <row r="254" spans="2:4" x14ac:dyDescent="0.25">
      <c r="B254" t="s">
        <v>110</v>
      </c>
      <c r="C254" s="4">
        <v>20201.505581806403</v>
      </c>
      <c r="D254" s="2">
        <v>-876.1790625894301</v>
      </c>
    </row>
    <row r="255" spans="2:4" x14ac:dyDescent="0.25">
      <c r="B255" t="s">
        <v>112</v>
      </c>
      <c r="C255" s="4">
        <v>-876.1790625894301</v>
      </c>
      <c r="D255" s="2">
        <v>286.43025325768815</v>
      </c>
    </row>
    <row r="256" spans="2:4" x14ac:dyDescent="0.25">
      <c r="B256" t="s">
        <v>264</v>
      </c>
      <c r="C256" s="4">
        <v>286.43025325768815</v>
      </c>
      <c r="D256" s="2">
        <v>-55.880722720198165</v>
      </c>
    </row>
    <row r="257" spans="2:4" x14ac:dyDescent="0.25">
      <c r="B257" t="s">
        <v>265</v>
      </c>
      <c r="C257" s="4">
        <v>-55.880722720198165</v>
      </c>
      <c r="D257" s="2">
        <v>27115.82167280576</v>
      </c>
    </row>
    <row r="258" spans="2:4" x14ac:dyDescent="0.25">
      <c r="B258" t="s">
        <v>123</v>
      </c>
      <c r="C258" s="4">
        <v>27115.82167280576</v>
      </c>
      <c r="D258" s="2">
        <v>-33250.09910439371</v>
      </c>
    </row>
    <row r="259" spans="2:4" x14ac:dyDescent="0.25">
      <c r="B259" t="s">
        <v>135</v>
      </c>
      <c r="C259" s="4">
        <v>-33250.09910439371</v>
      </c>
      <c r="D259" s="2">
        <v>-3720.6357825699743</v>
      </c>
    </row>
    <row r="260" spans="2:4" x14ac:dyDescent="0.25">
      <c r="B260" t="s">
        <v>144</v>
      </c>
      <c r="C260" s="4">
        <v>-3720.6357825699743</v>
      </c>
      <c r="D260" s="2">
        <v>-516.76151877526</v>
      </c>
    </row>
    <row r="261" spans="2:4" x14ac:dyDescent="0.25">
      <c r="B261" t="s">
        <v>150</v>
      </c>
      <c r="C261" s="4">
        <v>-516.76151877526</v>
      </c>
      <c r="D261" s="2">
        <v>-2310.25</v>
      </c>
    </row>
    <row r="262" spans="2:4" x14ac:dyDescent="0.25">
      <c r="B262" t="s">
        <v>142</v>
      </c>
      <c r="C262" s="4">
        <v>166.02559489070887</v>
      </c>
      <c r="D262" s="2">
        <v>93970.96</v>
      </c>
    </row>
    <row r="263" spans="2:4" x14ac:dyDescent="0.25">
      <c r="B263" t="s">
        <v>168</v>
      </c>
      <c r="C263" s="5">
        <v>93970.96</v>
      </c>
      <c r="D263" s="2">
        <v>15732.210000000001</v>
      </c>
    </row>
    <row r="264" spans="2:4" x14ac:dyDescent="0.25">
      <c r="B264" t="s">
        <v>169</v>
      </c>
      <c r="C264" s="4">
        <v>15732.210000000001</v>
      </c>
      <c r="D264" s="2">
        <v>30470.95</v>
      </c>
    </row>
    <row r="265" spans="2:4" x14ac:dyDescent="0.25">
      <c r="B265" t="s">
        <v>171</v>
      </c>
      <c r="C265" s="4">
        <v>30470.95</v>
      </c>
      <c r="D265" s="2">
        <v>1776.98</v>
      </c>
    </row>
    <row r="266" spans="2:4" x14ac:dyDescent="0.25">
      <c r="B266" t="s">
        <v>182</v>
      </c>
      <c r="C266" s="4">
        <v>27617.54</v>
      </c>
      <c r="D266" s="2">
        <v>8674.63</v>
      </c>
    </row>
    <row r="267" spans="2:4" x14ac:dyDescent="0.25">
      <c r="B267" t="s">
        <v>184</v>
      </c>
      <c r="C267" s="4">
        <v>1776.98</v>
      </c>
      <c r="D267" s="2">
        <v>1633.99</v>
      </c>
    </row>
    <row r="268" spans="2:4" x14ac:dyDescent="0.25">
      <c r="B268" t="s">
        <v>196</v>
      </c>
      <c r="C268" s="4">
        <v>-17162.57</v>
      </c>
      <c r="D268" s="2">
        <v>18657.100000000002</v>
      </c>
    </row>
    <row r="269" spans="2:4" x14ac:dyDescent="0.25">
      <c r="B269" t="s">
        <v>219</v>
      </c>
      <c r="C269" s="4">
        <v>251.68</v>
      </c>
      <c r="D269" s="2">
        <v>-17162.57</v>
      </c>
    </row>
    <row r="270" spans="2:4" x14ac:dyDescent="0.25">
      <c r="B270" t="s">
        <v>187</v>
      </c>
      <c r="C270" s="4">
        <v>8674.63</v>
      </c>
      <c r="D270" s="2">
        <v>37882.9</v>
      </c>
    </row>
    <row r="271" spans="2:4" x14ac:dyDescent="0.25">
      <c r="B271" t="s">
        <v>189</v>
      </c>
      <c r="C271" s="4">
        <v>1633.99</v>
      </c>
      <c r="D271" s="2">
        <v>1732.02</v>
      </c>
    </row>
    <row r="272" spans="2:4" x14ac:dyDescent="0.25">
      <c r="B272" t="s">
        <v>194</v>
      </c>
      <c r="C272" s="4">
        <v>18657.100000000002</v>
      </c>
      <c r="D272" s="2">
        <v>178280.72</v>
      </c>
    </row>
    <row r="273" spans="2:4" x14ac:dyDescent="0.25">
      <c r="B273" t="s">
        <v>204</v>
      </c>
      <c r="C273" s="4">
        <v>37882.9</v>
      </c>
      <c r="D273" s="2">
        <v>1760.8</v>
      </c>
    </row>
    <row r="274" spans="2:4" x14ac:dyDescent="0.25">
      <c r="B274" t="s">
        <v>205</v>
      </c>
      <c r="C274" s="4">
        <v>1732.02</v>
      </c>
      <c r="D274" s="2">
        <v>-89628.1</v>
      </c>
    </row>
    <row r="275" spans="2:4" x14ac:dyDescent="0.25">
      <c r="B275" t="s">
        <v>208</v>
      </c>
      <c r="C275" s="4">
        <v>178280.72</v>
      </c>
      <c r="D275" s="2">
        <v>251.68</v>
      </c>
    </row>
    <row r="276" spans="2:4" x14ac:dyDescent="0.25">
      <c r="B276" t="s">
        <v>210</v>
      </c>
      <c r="C276" s="4">
        <v>1760.8</v>
      </c>
      <c r="D276" s="2">
        <v>2084.42</v>
      </c>
    </row>
    <row r="277" spans="2:4" x14ac:dyDescent="0.25">
      <c r="B277" t="s">
        <v>213</v>
      </c>
      <c r="C277" s="4">
        <v>-89628.1</v>
      </c>
      <c r="D277" s="2">
        <v>5860.59</v>
      </c>
    </row>
    <row r="278" spans="2:4" x14ac:dyDescent="0.25">
      <c r="B278" t="s">
        <v>216</v>
      </c>
      <c r="C278" s="4">
        <v>1030.3</v>
      </c>
      <c r="D278" s="2">
        <v>61.24</v>
      </c>
    </row>
    <row r="279" spans="2:3" x14ac:dyDescent="0.25">
      <c r="B279" t="s">
        <v>222</v>
      </c>
      <c r="C279" s="4">
        <v>3033.18</v>
      </c>
    </row>
    <row r="280" spans="2:3" x14ac:dyDescent="0.25">
      <c r="B280" t="s">
        <v>224</v>
      </c>
      <c r="C280" s="4">
        <v>-5088.91</v>
      </c>
    </row>
    <row r="281" spans="2:3" x14ac:dyDescent="0.25">
      <c r="B281" t="s">
        <v>229</v>
      </c>
      <c r="C281" s="4">
        <v>2084.42</v>
      </c>
    </row>
    <row r="282" spans="2:3" x14ac:dyDescent="0.25">
      <c r="B282" t="s">
        <v>238</v>
      </c>
      <c r="C282" s="4">
        <v>33252.28</v>
      </c>
    </row>
    <row r="283" spans="2:3" x14ac:dyDescent="0.25">
      <c r="B283" t="s">
        <v>242</v>
      </c>
      <c r="C283" s="4">
        <v>275.24</v>
      </c>
    </row>
    <row r="284" spans="2:3" x14ac:dyDescent="0.25">
      <c r="B284" t="s">
        <v>248</v>
      </c>
      <c r="C284" s="4">
        <v>5860.59</v>
      </c>
    </row>
    <row r="285" spans="2:3" x14ac:dyDescent="0.25">
      <c r="B285" t="s">
        <v>259</v>
      </c>
      <c r="C285" s="4">
        <v>61.24</v>
      </c>
    </row>
    <row r="286" spans="2:3" x14ac:dyDescent="0.25">
      <c r="B286" t="s">
        <v>160</v>
      </c>
      <c r="C286" s="4">
        <v>-2310.25</v>
      </c>
    </row>
    <row r="291" spans="5:6" x14ac:dyDescent="0.25">
      <c r="E291" s="2">
        <v>-2310.25</v>
      </c>
      <c r="F291" s="2">
        <v>178280.72</v>
      </c>
    </row>
    <row r="292" spans="5:6" x14ac:dyDescent="0.25">
      <c r="E292" s="2">
        <v>93970.96</v>
      </c>
      <c r="F292" s="2">
        <v>93970.96</v>
      </c>
    </row>
    <row r="293" spans="5:6" x14ac:dyDescent="0.25">
      <c r="E293" s="2">
        <v>15732.210000000001</v>
      </c>
      <c r="F293" s="2">
        <v>89628.1</v>
      </c>
    </row>
    <row r="294" spans="5:6" x14ac:dyDescent="0.25">
      <c r="E294" s="2">
        <v>30470.95</v>
      </c>
      <c r="F294" s="2">
        <v>37882.9</v>
      </c>
    </row>
    <row r="295" spans="5:6" x14ac:dyDescent="0.25">
      <c r="E295" s="2">
        <v>27617.54</v>
      </c>
      <c r="F295" s="2">
        <v>33252.28</v>
      </c>
    </row>
    <row r="296" spans="5:6" x14ac:dyDescent="0.25">
      <c r="E296" s="2">
        <v>1776.98</v>
      </c>
      <c r="F296" s="2">
        <v>30470.95</v>
      </c>
    </row>
    <row r="297" spans="5:6" x14ac:dyDescent="0.25">
      <c r="E297" s="2">
        <v>8674.63</v>
      </c>
      <c r="F297" s="2">
        <v>27617.54</v>
      </c>
    </row>
    <row r="298" spans="5:6" x14ac:dyDescent="0.25">
      <c r="E298" s="2">
        <v>1633.99</v>
      </c>
      <c r="F298" s="2">
        <v>18657.100000000002</v>
      </c>
    </row>
    <row r="299" spans="5:6" x14ac:dyDescent="0.25">
      <c r="E299" s="2">
        <v>18657.100000000002</v>
      </c>
      <c r="F299" s="2">
        <v>17162.57</v>
      </c>
    </row>
    <row r="300" spans="5:6" x14ac:dyDescent="0.25">
      <c r="E300" s="2">
        <v>-17162.57</v>
      </c>
      <c r="F300" s="2">
        <v>15732.210000000001</v>
      </c>
    </row>
    <row r="301" spans="5:6" x14ac:dyDescent="0.25">
      <c r="E301" s="2">
        <v>37882.9</v>
      </c>
      <c r="F301" s="2">
        <v>8674.63</v>
      </c>
    </row>
    <row r="302" spans="5:6" x14ac:dyDescent="0.25">
      <c r="E302" s="2">
        <v>1732.02</v>
      </c>
      <c r="F302" s="2">
        <v>5860.59</v>
      </c>
    </row>
    <row r="303" spans="5:6" x14ac:dyDescent="0.25">
      <c r="E303" s="2">
        <v>178280.72</v>
      </c>
      <c r="F303" s="2">
        <v>3033.18</v>
      </c>
    </row>
    <row r="304" spans="5:6" x14ac:dyDescent="0.25">
      <c r="E304" s="2">
        <v>1760.8</v>
      </c>
      <c r="F304" s="2">
        <v>2084.42</v>
      </c>
    </row>
    <row r="305" spans="5:6" x14ac:dyDescent="0.25">
      <c r="E305" s="2">
        <v>-89628.1</v>
      </c>
      <c r="F305" s="2">
        <v>1776.98</v>
      </c>
    </row>
    <row r="306" spans="5:6" x14ac:dyDescent="0.25">
      <c r="E306" s="2">
        <v>1030.3</v>
      </c>
      <c r="F306" s="2">
        <v>1760.8</v>
      </c>
    </row>
    <row r="307" spans="5:6" x14ac:dyDescent="0.25">
      <c r="E307" s="2">
        <v>251.68</v>
      </c>
      <c r="F307" s="2">
        <v>1732.02</v>
      </c>
    </row>
    <row r="308" spans="5:6" x14ac:dyDescent="0.25">
      <c r="E308" s="2">
        <v>3033.18</v>
      </c>
      <c r="F308" s="2">
        <v>1633.99</v>
      </c>
    </row>
    <row r="309" spans="5:6" x14ac:dyDescent="0.25">
      <c r="E309" s="2">
        <v>-5088.91</v>
      </c>
      <c r="F309" s="2">
        <v>1030.3</v>
      </c>
    </row>
    <row r="310" spans="5:6" x14ac:dyDescent="0.25">
      <c r="E310" s="2">
        <v>2084.42</v>
      </c>
      <c r="F310" s="2">
        <v>275.24</v>
      </c>
    </row>
    <row r="311" spans="5:6" x14ac:dyDescent="0.25">
      <c r="E311" s="2">
        <v>33252.28</v>
      </c>
      <c r="F311" s="2">
        <v>251.68</v>
      </c>
    </row>
    <row r="312" spans="5:6" x14ac:dyDescent="0.25">
      <c r="E312" s="2">
        <v>275.24</v>
      </c>
      <c r="F312" s="2">
        <v>61.24</v>
      </c>
    </row>
    <row r="313" spans="5:5" x14ac:dyDescent="0.25">
      <c r="E313" s="2">
        <v>5860.59</v>
      </c>
    </row>
    <row r="314" spans="5:5" x14ac:dyDescent="0.25">
      <c r="E314" s="2">
        <v>61.24</v>
      </c>
    </row>
    <row r="315" spans="5:5" x14ac:dyDescent="0.25">
      <c r="E315" s="2">
        <v>-3231.7768404067</v>
      </c>
    </row>
  </sheetData>
  <autoFilter ref="B1:E289"/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workbookViewId="0" zoomScale="100" zoomScaleNormal="100">
      <selection activeCell="A5" sqref="A5"/>
    </sheetView>
  </sheetViews>
  <sheetFormatPr defaultRowHeight="0" outlineLevelRow="0" outlineLevelCol="0" x14ac:dyDescent="0" customHeight="1"/>
  <cols>
    <col min="1" max="1" width="2.33203125" customWidth="1"/>
    <col min="2" max="3" width="2.109375" customWidth="1"/>
    <col min="4" max="4" width="26.5546875" customWidth="1"/>
    <col min="5" max="5" width="7.88671875" customWidth="1"/>
    <col min="6" max="6" width="13.44140625" customWidth="1"/>
    <col min="7" max="7" width="11" hidden="1" customWidth="1"/>
    <col min="8" max="8" width="1.88671875" customWidth="1"/>
    <col min="9" max="9" width="2.44140625" customWidth="1"/>
    <col min="10" max="10" width="2" customWidth="1"/>
    <col min="11" max="11" width="36.5546875" customWidth="1"/>
    <col min="12" max="12" width="14.44140625" customWidth="1"/>
    <col min="13" max="13" width="10.109375" hidden="1" customWidth="1"/>
    <col min="14" max="14" width="12.6640625" customWidth="1"/>
    <col min="15" max="15" width="14.88671875" customWidth="1"/>
    <col min="16" max="16" width="18.6640625" customWidth="1"/>
    <col min="17" max="17" width="11" customWidth="1"/>
    <col min="18" max="18" width="14" customWidth="1"/>
    <col min="19" max="19" width="11.44140625" customWidth="1"/>
    <col min="20" max="20" width="15.109375" customWidth="1"/>
    <col min="21" max="257" width="9.109375" customWidth="1"/>
  </cols>
  <sheetData>
    <row r="1" spans="1:20" x14ac:dyDescent="0.25">
      <c r="A1" s="6" t="s">
        <v>266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20" x14ac:dyDescent="0.25">
      <c r="A2" s="6"/>
      <c r="B2" s="6"/>
      <c r="C2" s="6"/>
      <c r="D2" s="6"/>
      <c r="E2" s="6"/>
      <c r="F2" s="6"/>
      <c r="G2" s="6"/>
      <c r="H2" s="6"/>
    </row>
    <row r="3" spans="1:20" x14ac:dyDescent="0.25">
      <c r="A3" s="6" t="s">
        <v>267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0" x14ac:dyDescent="0.25"/>
    <row r="5" spans="1:20" x14ac:dyDescent="0.25">
      <c r="A5" s="6" t="s">
        <v>268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20" x14ac:dyDescent="0.25">
      <c r="R6" s="7"/>
    </row>
    <row r="7" ht="12" customHeight="1" spans="1:20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2.6" customHeight="1" spans="1:20" x14ac:dyDescent="0.25">
      <c r="A8" s="9"/>
      <c r="B8" s="10" t="s">
        <v>269</v>
      </c>
      <c r="C8" s="10"/>
      <c r="D8" s="10"/>
      <c r="E8" s="10"/>
      <c r="F8" s="11" t="s">
        <v>269</v>
      </c>
      <c r="G8" s="11"/>
      <c r="H8" s="10"/>
      <c r="I8" s="10"/>
      <c r="J8" s="10"/>
      <c r="K8" s="10"/>
      <c r="L8" s="12"/>
      <c r="M8" s="13"/>
      <c r="N8" s="14"/>
      <c r="O8" s="14"/>
      <c r="P8" s="14"/>
      <c r="Q8" s="14"/>
      <c r="R8" s="14"/>
      <c r="S8" s="14"/>
      <c r="T8" s="14"/>
    </row>
    <row r="9" ht="12" customHeight="1" spans="1:20" x14ac:dyDescent="0.25">
      <c r="A9" s="15"/>
      <c r="B9" s="14"/>
      <c r="C9" s="14" t="s">
        <v>269</v>
      </c>
      <c r="D9" s="14"/>
      <c r="E9" s="14"/>
      <c r="F9" s="16">
        <v>46234</v>
      </c>
      <c r="G9" s="16"/>
      <c r="H9" s="14"/>
      <c r="I9" s="14"/>
      <c r="J9" s="14"/>
      <c r="K9" s="14"/>
      <c r="L9" s="17">
        <f>+F9</f>
        <v>46234</v>
      </c>
      <c r="M9" s="18">
        <v>38717</v>
      </c>
      <c r="N9" s="14"/>
      <c r="O9" s="14"/>
      <c r="P9" s="14"/>
      <c r="Q9" s="14"/>
      <c r="R9" s="14"/>
      <c r="S9" s="14"/>
      <c r="T9" s="14"/>
    </row>
    <row r="10" ht="12" customHeight="1" spans="1:20" x14ac:dyDescent="0.25">
      <c r="A10" s="15"/>
      <c r="B10" s="19" t="s">
        <v>270</v>
      </c>
      <c r="C10" s="14"/>
      <c r="D10" s="14"/>
      <c r="E10" s="14"/>
      <c r="F10" s="20"/>
      <c r="G10" s="20"/>
      <c r="H10" s="14"/>
      <c r="I10" s="19" t="s">
        <v>271</v>
      </c>
      <c r="J10" s="14"/>
      <c r="K10" s="14"/>
      <c r="L10" s="21"/>
      <c r="M10" s="22"/>
      <c r="N10" s="14"/>
      <c r="O10" s="14"/>
      <c r="P10" s="14"/>
      <c r="Q10" s="14"/>
      <c r="R10" s="14"/>
      <c r="S10" s="14"/>
      <c r="T10" s="14"/>
    </row>
    <row r="11" ht="12" customHeight="1" spans="1:20" x14ac:dyDescent="0.25">
      <c r="A11" s="15"/>
      <c r="B11" s="14"/>
      <c r="C11" s="19" t="s">
        <v>272</v>
      </c>
      <c r="D11" s="14"/>
      <c r="E11" s="14"/>
      <c r="F11" s="23"/>
      <c r="G11" s="23"/>
      <c r="H11" s="14"/>
      <c r="I11" s="19" t="s">
        <v>273</v>
      </c>
      <c r="J11" s="14"/>
      <c r="K11" s="14"/>
      <c r="L11" s="24"/>
      <c r="M11" s="25"/>
      <c r="N11" s="14"/>
      <c r="O11" s="14"/>
      <c r="P11" s="14"/>
      <c r="Q11" s="14"/>
      <c r="R11" s="14"/>
      <c r="S11" s="14"/>
      <c r="T11" s="14"/>
    </row>
    <row r="12" ht="12" customHeight="1" spans="1:20" x14ac:dyDescent="0.25">
      <c r="A12" s="15"/>
      <c r="B12" s="14"/>
      <c r="C12" s="14"/>
      <c r="D12" s="14" t="s">
        <v>274</v>
      </c>
      <c r="E12" s="14"/>
      <c r="F12" s="26">
        <f>+Activo!F16</f>
        <v>-86573.88872952295</v>
      </c>
      <c r="G12" s="26"/>
      <c r="H12" s="14"/>
      <c r="I12" s="14"/>
      <c r="J12" s="14" t="s">
        <v>275</v>
      </c>
      <c r="K12" s="14"/>
      <c r="L12" s="27"/>
      <c r="M12" s="25"/>
      <c r="N12" s="14"/>
      <c r="O12" s="14"/>
      <c r="P12" s="14"/>
      <c r="Q12" s="14"/>
      <c r="R12" s="14"/>
      <c r="S12" s="14"/>
      <c r="T12" s="14"/>
    </row>
    <row r="13" ht="12" customHeight="1" hidden="1" spans="1:20" x14ac:dyDescent="0.25">
      <c r="A13" s="15"/>
      <c r="B13" s="14"/>
      <c r="C13" s="14"/>
      <c r="D13" s="14" t="s">
        <v>276</v>
      </c>
      <c r="E13" s="14"/>
      <c r="F13" s="26">
        <v>0</v>
      </c>
      <c r="G13" s="26"/>
      <c r="H13" s="14"/>
      <c r="I13" s="14"/>
      <c r="J13" s="14"/>
      <c r="K13" s="14" t="s">
        <v>277</v>
      </c>
      <c r="L13" s="27"/>
      <c r="M13" s="25"/>
      <c r="N13" s="14"/>
      <c r="O13" s="14"/>
      <c r="P13" s="14"/>
      <c r="Q13" s="14"/>
      <c r="R13" s="14"/>
      <c r="S13" s="14"/>
      <c r="T13" s="14"/>
    </row>
    <row r="14" ht="12" customHeight="1" hidden="1" spans="1:20" x14ac:dyDescent="0.25">
      <c r="A14" s="15"/>
      <c r="B14" s="14"/>
      <c r="C14" s="14"/>
      <c r="D14" s="14" t="s">
        <v>278</v>
      </c>
      <c r="E14" s="14"/>
      <c r="F14" s="26">
        <f>+Activo!F34</f>
        <v>0</v>
      </c>
      <c r="G14" s="26"/>
      <c r="H14" s="14"/>
      <c r="I14" s="14"/>
      <c r="J14" s="14"/>
      <c r="K14" s="14" t="s">
        <v>279</v>
      </c>
      <c r="L14" s="27">
        <v>0</v>
      </c>
      <c r="M14" s="25"/>
      <c r="N14" s="14"/>
      <c r="O14" s="14"/>
      <c r="P14" s="14"/>
      <c r="Q14" s="14"/>
      <c r="R14" s="14"/>
      <c r="S14" s="14"/>
      <c r="T14" s="14"/>
    </row>
    <row r="15" ht="12" customHeight="1" spans="1:20" x14ac:dyDescent="0.25">
      <c r="A15" s="15"/>
      <c r="B15" s="14"/>
      <c r="C15" s="14"/>
      <c r="D15" s="14" t="s">
        <v>280</v>
      </c>
      <c r="E15" s="14"/>
      <c r="F15" s="26">
        <f>+Activo!F23</f>
        <v>-70990.50351035231</v>
      </c>
      <c r="G15" s="26"/>
      <c r="H15" s="14"/>
      <c r="I15" s="14"/>
      <c r="J15" s="14"/>
      <c r="K15" s="14" t="s">
        <v>281</v>
      </c>
      <c r="L15" s="27">
        <f>+Pasivo!E16</f>
        <v>297601.36671710166</v>
      </c>
      <c r="M15" s="25"/>
      <c r="N15" s="14"/>
      <c r="O15" s="14"/>
      <c r="P15" s="14"/>
      <c r="Q15" s="14"/>
      <c r="R15" s="14"/>
      <c r="S15" s="14"/>
      <c r="T15" s="14"/>
    </row>
    <row r="16" ht="12" customHeight="1" hidden="1" spans="1:20" x14ac:dyDescent="0.25">
      <c r="A16" s="15"/>
      <c r="B16" s="14"/>
      <c r="C16" s="14"/>
      <c r="D16" s="14"/>
      <c r="E16" s="14"/>
      <c r="F16" s="14"/>
      <c r="G16" s="26"/>
      <c r="H16" s="14"/>
      <c r="I16" s="14"/>
      <c r="J16" s="14"/>
      <c r="K16" s="14" t="s">
        <v>282</v>
      </c>
      <c r="L16" s="27">
        <f>+Pasivo!E22</f>
        <v>0</v>
      </c>
      <c r="M16" s="25"/>
      <c r="N16" s="14"/>
      <c r="O16" s="14"/>
      <c r="P16" s="14"/>
      <c r="Q16" s="14"/>
      <c r="R16" s="14"/>
      <c r="S16" s="14"/>
      <c r="T16" s="14"/>
    </row>
    <row r="17" ht="12" customHeight="1" spans="1:20" x14ac:dyDescent="0.25">
      <c r="A17" s="15"/>
      <c r="B17" s="14"/>
      <c r="C17" s="14"/>
      <c r="D17" s="14" t="s">
        <v>283</v>
      </c>
      <c r="E17" s="14"/>
      <c r="F17" s="26">
        <f>+Activo!F26</f>
        <v>-2171.4587873415157</v>
      </c>
      <c r="G17" s="26"/>
      <c r="H17" s="14"/>
      <c r="I17" s="14"/>
      <c r="J17" s="14"/>
      <c r="K17" s="14" t="s">
        <v>284</v>
      </c>
      <c r="L17" s="27">
        <f>+Pasivo!E28</f>
        <v>-129433.41327401964</v>
      </c>
      <c r="M17" s="25"/>
      <c r="N17" s="28"/>
      <c r="O17" s="14"/>
      <c r="P17" s="14"/>
      <c r="Q17" s="14"/>
      <c r="R17" s="14"/>
      <c r="S17" s="14"/>
      <c r="T17" s="14"/>
    </row>
    <row r="18" ht="12" customHeight="1" hidden="1" spans="1:20" x14ac:dyDescent="0.25">
      <c r="A18" s="15"/>
      <c r="B18" s="14"/>
      <c r="C18" s="14"/>
      <c r="D18" s="14"/>
      <c r="E18" s="14"/>
      <c r="F18" s="14"/>
      <c r="G18" s="26"/>
      <c r="H18" s="14"/>
      <c r="I18" s="14"/>
      <c r="J18" s="14"/>
      <c r="K18" s="14" t="s">
        <v>285</v>
      </c>
      <c r="L18" s="27">
        <f>+Pasivo!E35</f>
        <v>645.6295320519401</v>
      </c>
      <c r="M18" s="25"/>
      <c r="N18" s="28"/>
      <c r="O18" s="28"/>
      <c r="P18" s="29"/>
      <c r="Q18" s="29"/>
      <c r="R18" s="29"/>
      <c r="S18" s="29"/>
      <c r="T18" s="29"/>
    </row>
    <row r="19" ht="12" customHeight="1" hidden="1" spans="1:20" x14ac:dyDescent="0.25">
      <c r="A19" s="15"/>
      <c r="B19" s="14"/>
      <c r="C19" s="14"/>
      <c r="D19" s="14" t="s">
        <v>286</v>
      </c>
      <c r="E19" s="14"/>
      <c r="F19" s="26">
        <v>0</v>
      </c>
      <c r="G19" s="26"/>
      <c r="H19" s="14"/>
      <c r="I19" s="14"/>
      <c r="J19" s="14"/>
      <c r="K19" s="14" t="s">
        <v>287</v>
      </c>
      <c r="L19" s="27">
        <v>0</v>
      </c>
      <c r="M19" s="25"/>
      <c r="N19" s="14"/>
      <c r="O19" s="14"/>
      <c r="P19" s="14"/>
      <c r="Q19" s="14"/>
      <c r="R19" s="14"/>
      <c r="S19" s="14"/>
      <c r="T19" s="14"/>
    </row>
    <row r="20" ht="12" customHeight="1" hidden="1" spans="1:20" x14ac:dyDescent="0.25">
      <c r="A20" s="15"/>
      <c r="B20" s="14"/>
      <c r="C20" s="14"/>
      <c r="D20" s="14"/>
      <c r="E20" s="14"/>
      <c r="F20" s="26"/>
      <c r="G20" s="26"/>
      <c r="H20" s="14"/>
      <c r="I20" s="14"/>
      <c r="J20" s="14"/>
      <c r="K20" s="14" t="s">
        <v>288</v>
      </c>
      <c r="L20" s="27">
        <v>0</v>
      </c>
      <c r="M20" s="25"/>
      <c r="N20" s="14"/>
      <c r="O20" s="14"/>
      <c r="P20" s="29"/>
      <c r="Q20" s="29"/>
      <c r="R20" s="29"/>
      <c r="S20" s="29"/>
      <c r="T20" s="29"/>
    </row>
    <row r="21" ht="12" customHeight="1" spans="1:20" x14ac:dyDescent="0.25">
      <c r="A21" s="15"/>
      <c r="B21" s="14"/>
      <c r="C21" s="14"/>
      <c r="D21" s="14"/>
      <c r="E21" s="14"/>
      <c r="F21" s="26"/>
      <c r="G21" s="26"/>
      <c r="H21" s="14"/>
      <c r="I21" s="14"/>
      <c r="J21" s="14"/>
      <c r="K21" s="14"/>
      <c r="L21" s="27"/>
      <c r="M21" s="25"/>
      <c r="N21" s="14"/>
      <c r="O21" s="14"/>
      <c r="P21" s="29"/>
      <c r="Q21" s="29"/>
      <c r="R21" s="29"/>
      <c r="S21" s="29"/>
      <c r="T21" s="29"/>
    </row>
    <row r="22" ht="12" customHeight="1" spans="1:20" x14ac:dyDescent="0.25">
      <c r="A22" s="15"/>
      <c r="B22" s="14"/>
      <c r="C22" s="14"/>
      <c r="D22" s="14" t="s">
        <v>289</v>
      </c>
      <c r="E22" s="14"/>
      <c r="F22" s="26">
        <f>+Activo!F57</f>
        <v>-9591.51525859749</v>
      </c>
      <c r="G22" s="26"/>
      <c r="H22" s="14"/>
      <c r="I22" s="14"/>
      <c r="J22" s="14" t="s">
        <v>290</v>
      </c>
      <c r="K22" s="14"/>
      <c r="L22" s="27">
        <f>SUM(L13:L21)</f>
        <v>168813.58297513396</v>
      </c>
      <c r="M22" s="25"/>
      <c r="N22" s="14"/>
      <c r="O22" s="14"/>
      <c r="P22" s="29"/>
      <c r="Q22" s="29"/>
      <c r="R22" s="29"/>
      <c r="S22" s="29"/>
      <c r="T22" s="29"/>
    </row>
    <row r="23" ht="12" customHeight="1" spans="1:20" x14ac:dyDescent="0.25">
      <c r="A23" s="15"/>
      <c r="B23" s="14"/>
      <c r="C23" s="14"/>
      <c r="D23" s="14"/>
      <c r="E23" s="14"/>
      <c r="F23" s="26"/>
      <c r="G23" s="26"/>
      <c r="H23" s="14"/>
      <c r="I23" s="14"/>
      <c r="J23" s="14" t="s">
        <v>291</v>
      </c>
      <c r="K23" s="14"/>
      <c r="L23" s="27">
        <v>0</v>
      </c>
      <c r="M23" s="25"/>
      <c r="N23" s="14"/>
      <c r="O23" s="14"/>
      <c r="P23" s="29"/>
      <c r="Q23" s="29"/>
      <c r="R23" s="29"/>
      <c r="S23" s="29"/>
      <c r="T23" s="29"/>
    </row>
    <row r="24" ht="12" customHeight="1" spans="1:20" x14ac:dyDescent="0.25">
      <c r="A24" s="15"/>
      <c r="B24" s="14"/>
      <c r="C24" s="19" t="s">
        <v>292</v>
      </c>
      <c r="D24" s="14"/>
      <c r="E24" s="14"/>
      <c r="F24" s="30">
        <f>SUM(F12:G22)</f>
        <v>-169327.3662858143</v>
      </c>
      <c r="G24" s="26"/>
      <c r="H24" s="14"/>
      <c r="I24" s="19" t="s">
        <v>293</v>
      </c>
      <c r="J24" s="14"/>
      <c r="K24" s="14"/>
      <c r="L24" s="31">
        <f>+L22+L23</f>
        <v>168813.58297513396</v>
      </c>
      <c r="M24" s="25"/>
      <c r="N24" s="32"/>
      <c r="O24" s="29"/>
      <c r="P24" s="29"/>
      <c r="Q24" s="29"/>
      <c r="R24" s="29"/>
      <c r="S24" s="29"/>
      <c r="T24" s="29"/>
    </row>
    <row r="25" ht="12" customHeight="1" spans="1:20" x14ac:dyDescent="0.25">
      <c r="A25" s="15"/>
      <c r="B25" s="14"/>
      <c r="C25" s="14"/>
      <c r="D25" s="14"/>
      <c r="E25" s="33"/>
      <c r="F25" s="26"/>
      <c r="G25" s="26"/>
      <c r="H25" s="14"/>
      <c r="I25" s="19" t="s">
        <v>294</v>
      </c>
      <c r="J25" s="14"/>
      <c r="K25" s="14"/>
      <c r="L25" s="34">
        <f>+L24</f>
        <v>168813.58297513396</v>
      </c>
      <c r="M25" s="25"/>
      <c r="N25" s="28"/>
      <c r="O25" s="28"/>
      <c r="P25" s="29"/>
      <c r="Q25" s="29"/>
      <c r="R25" s="29"/>
      <c r="S25" s="29"/>
      <c r="T25" s="29"/>
    </row>
    <row r="26" ht="12" customHeight="1" spans="1:20" x14ac:dyDescent="0.25">
      <c r="A26" s="15"/>
      <c r="B26" s="14"/>
      <c r="C26" s="14" t="s">
        <v>269</v>
      </c>
      <c r="D26" s="14"/>
      <c r="E26" s="14"/>
      <c r="F26" s="26"/>
      <c r="G26" s="26"/>
      <c r="H26" s="14"/>
      <c r="I26" s="14"/>
      <c r="J26" s="14"/>
      <c r="K26" s="14"/>
      <c r="L26" s="27"/>
      <c r="M26" s="25"/>
      <c r="N26" s="14"/>
      <c r="O26" s="14"/>
      <c r="P26" s="29"/>
      <c r="Q26" s="29"/>
      <c r="R26" s="29"/>
      <c r="S26" s="29"/>
      <c r="T26" s="29"/>
    </row>
    <row r="27" ht="12" customHeight="1" spans="1:20" x14ac:dyDescent="0.25">
      <c r="A27" s="15"/>
      <c r="B27" s="14"/>
      <c r="C27" s="14"/>
      <c r="D27" s="14"/>
      <c r="E27" s="14"/>
      <c r="F27" s="23"/>
      <c r="G27" s="23"/>
      <c r="H27" s="14"/>
      <c r="I27" s="14"/>
      <c r="J27" s="14"/>
      <c r="K27" s="14"/>
      <c r="L27" s="27"/>
      <c r="M27" s="25"/>
      <c r="N27" s="14"/>
      <c r="O27" s="14"/>
      <c r="P27" s="14"/>
      <c r="Q27" s="14"/>
      <c r="R27" s="14"/>
      <c r="S27" s="14"/>
      <c r="T27" s="14"/>
    </row>
    <row r="28" ht="12" customHeight="1" spans="1:20" x14ac:dyDescent="0.25">
      <c r="A28" s="15"/>
      <c r="B28" s="14"/>
      <c r="C28" s="19" t="s">
        <v>295</v>
      </c>
      <c r="D28" s="14"/>
      <c r="E28" s="14"/>
      <c r="F28" s="26"/>
      <c r="G28" s="26"/>
      <c r="H28" s="14"/>
      <c r="I28" s="14" t="s">
        <v>269</v>
      </c>
      <c r="J28" s="14" t="s">
        <v>269</v>
      </c>
      <c r="K28" s="14"/>
      <c r="L28" s="27"/>
      <c r="M28" s="25"/>
      <c r="N28" s="14"/>
      <c r="O28" s="14"/>
      <c r="P28" s="28"/>
      <c r="Q28" s="14"/>
      <c r="R28" s="14"/>
      <c r="S28" s="14"/>
      <c r="T28" s="14"/>
    </row>
    <row r="29" ht="12" customHeight="1" spans="1:20" x14ac:dyDescent="0.25">
      <c r="A29" s="15"/>
      <c r="B29" s="14"/>
      <c r="C29" s="14"/>
      <c r="D29" s="14" t="s">
        <v>296</v>
      </c>
      <c r="E29" s="14"/>
      <c r="F29" s="26">
        <f>+'Anexo I'!K18</f>
        <v>-8477.163421115732</v>
      </c>
      <c r="G29" s="26"/>
      <c r="H29" s="14"/>
      <c r="I29" s="14" t="s">
        <v>297</v>
      </c>
      <c r="J29" s="14"/>
      <c r="K29" s="14"/>
      <c r="L29" s="27">
        <f>+EEPN!J18</f>
        <v>-346618.1231595933</v>
      </c>
      <c r="M29" s="35"/>
      <c r="N29" s="36"/>
      <c r="O29" s="29"/>
      <c r="P29" s="29"/>
      <c r="Q29" s="14"/>
      <c r="R29" s="14"/>
      <c r="S29" s="14"/>
      <c r="T29" s="14"/>
    </row>
    <row r="30" ht="12" customHeight="1" spans="1:20" x14ac:dyDescent="0.25">
      <c r="A30" s="15"/>
      <c r="B30" s="14"/>
      <c r="C30" s="14"/>
      <c r="D30" s="14"/>
      <c r="E30" s="14"/>
      <c r="F30" s="26"/>
      <c r="G30" s="26"/>
      <c r="H30" s="14"/>
      <c r="I30" s="14"/>
      <c r="J30" s="14"/>
      <c r="K30" s="14"/>
      <c r="L30" s="27"/>
      <c r="M30" s="35"/>
      <c r="N30" s="14"/>
      <c r="O30" s="14"/>
      <c r="P30" s="37"/>
      <c r="Q30" s="14"/>
      <c r="R30" s="14"/>
      <c r="S30" s="14"/>
      <c r="T30" s="14"/>
    </row>
    <row r="31" ht="12" customHeight="1" spans="1:20" x14ac:dyDescent="0.25">
      <c r="A31" s="15"/>
      <c r="B31" s="14"/>
      <c r="C31" s="19" t="s">
        <v>298</v>
      </c>
      <c r="D31" s="14"/>
      <c r="E31" s="14"/>
      <c r="F31" s="30">
        <f>SUM(F29:F30)</f>
        <v>-8477.163421115732</v>
      </c>
      <c r="G31" s="26"/>
      <c r="H31" s="14"/>
      <c r="I31" s="14"/>
      <c r="J31" s="14"/>
      <c r="K31" s="14" t="s">
        <v>269</v>
      </c>
      <c r="L31" s="31">
        <f>+L29</f>
        <v>-346618.1231595933</v>
      </c>
      <c r="M31" s="25"/>
      <c r="N31" s="14"/>
      <c r="O31" s="29"/>
      <c r="P31" s="14"/>
      <c r="Q31" s="14"/>
      <c r="R31" s="14"/>
      <c r="S31" s="14"/>
      <c r="T31" s="14"/>
    </row>
    <row r="32" ht="12" customHeight="1" spans="1:20" x14ac:dyDescent="0.25">
      <c r="A32" s="15"/>
      <c r="B32" s="14"/>
      <c r="C32" s="14"/>
      <c r="D32" s="14"/>
      <c r="E32" s="14"/>
      <c r="F32" s="26"/>
      <c r="G32" s="26"/>
      <c r="H32" s="14"/>
      <c r="I32" s="14"/>
      <c r="J32" s="14"/>
      <c r="K32" s="14"/>
      <c r="L32" s="27"/>
      <c r="M32" s="25"/>
      <c r="N32" s="14"/>
      <c r="O32" s="29"/>
      <c r="P32" s="14"/>
      <c r="Q32" s="14"/>
      <c r="R32" s="14"/>
      <c r="S32" s="14"/>
      <c r="T32" s="14"/>
    </row>
    <row r="33" ht="12.6" customHeight="1" spans="1:20" x14ac:dyDescent="0.25">
      <c r="A33" s="38"/>
      <c r="B33" s="39"/>
      <c r="C33" s="40" t="s">
        <v>299</v>
      </c>
      <c r="D33" s="39"/>
      <c r="E33" s="39"/>
      <c r="F33" s="41">
        <f>+F24+F31</f>
        <v>-177804.52970693</v>
      </c>
      <c r="G33" s="41"/>
      <c r="H33" s="39"/>
      <c r="I33" s="40" t="s">
        <v>300</v>
      </c>
      <c r="J33" s="39"/>
      <c r="K33" s="39"/>
      <c r="L33" s="42">
        <f>+L25+L31+0.01</f>
        <v>-177804.53018445935</v>
      </c>
      <c r="M33" s="43"/>
      <c r="N33" s="28"/>
      <c r="O33" s="29"/>
      <c r="P33" s="29"/>
      <c r="Q33" s="44"/>
      <c r="R33" s="14"/>
      <c r="S33" s="14"/>
      <c r="T33" s="14"/>
    </row>
    <row r="34" ht="12" customHeight="1" spans="1:20" x14ac:dyDescent="0.25">
      <c r="A34" s="8"/>
      <c r="B34" s="8"/>
      <c r="C34" s="8"/>
      <c r="D34" s="8"/>
      <c r="E34" s="8"/>
      <c r="F34" s="45"/>
      <c r="G34" s="8"/>
      <c r="H34" s="8"/>
      <c r="I34" s="8"/>
      <c r="J34" s="8"/>
      <c r="K34" s="8"/>
      <c r="L34" s="32"/>
      <c r="M34" s="8"/>
      <c r="N34" s="8"/>
      <c r="O34" s="32"/>
      <c r="P34" s="32"/>
      <c r="Q34" s="8"/>
      <c r="R34" s="8"/>
      <c r="S34" s="8"/>
      <c r="T34" s="8"/>
    </row>
    <row r="35" spans="1:20" x14ac:dyDescent="0.25">
      <c r="F35" s="46"/>
      <c r="G35" s="47"/>
      <c r="K35" s="46"/>
      <c r="L35" s="48"/>
      <c r="N35" s="46"/>
      <c r="O35" s="49"/>
      <c r="P35" s="49"/>
      <c r="Q35" s="50"/>
      <c r="R35" s="50"/>
      <c r="S35" s="50"/>
      <c r="T35" s="50"/>
    </row>
    <row r="36" spans="1:20" x14ac:dyDescent="0.25">
      <c r="D36" s="46"/>
      <c r="F36" s="46"/>
      <c r="K36" s="46"/>
      <c r="L36" s="49"/>
      <c r="N36" s="46"/>
      <c r="O36" s="50"/>
      <c r="P36" s="49"/>
      <c r="Q36" s="50"/>
      <c r="R36" s="50"/>
      <c r="S36" s="50"/>
      <c r="T36" s="50"/>
    </row>
    <row r="37" spans="1:20" x14ac:dyDescent="0.25">
      <c r="F37" s="49"/>
      <c r="K37" s="46"/>
      <c r="L37" s="46"/>
    </row>
    <row r="38" spans="1:20" x14ac:dyDescent="0.25">
      <c r="F38" s="46"/>
      <c r="L38" s="46"/>
    </row>
    <row r="39" spans="1:20" x14ac:dyDescent="0.25">
      <c r="K39" s="46"/>
      <c r="L39" s="46"/>
    </row>
    <row r="40" spans="1:20" x14ac:dyDescent="0.25">
      <c r="F40" s="46"/>
    </row>
    <row r="41" spans="1:20" x14ac:dyDescent="0.25">
      <c r="F41" s="46"/>
    </row>
  </sheetData>
  <mergeCells count="3">
    <mergeCell ref="A1:L1"/>
    <mergeCell ref="A3:L3"/>
    <mergeCell ref="A5:L5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 zoomScale="100" zoomScaleNormal="100">
      <selection activeCell="A5" sqref="A5"/>
    </sheetView>
  </sheetViews>
  <sheetFormatPr defaultRowHeight="0" outlineLevelRow="0" outlineLevelCol="0" x14ac:dyDescent="0" customHeight="1"/>
  <cols>
    <col min="1" max="1" width="38.33203125" customWidth="1"/>
    <col min="2" max="2" width="6.5546875" customWidth="1"/>
    <col min="3" max="3" width="14.109375" customWidth="1"/>
    <col min="4" max="4" width="12.109375" hidden="1" customWidth="1"/>
    <col min="5" max="5" width="11.6640625" customWidth="1"/>
    <col min="6" max="6" width="12.44140625" customWidth="1"/>
    <col min="7" max="7" width="11.44140625" customWidth="1"/>
    <col min="8" max="8" width="11.6640625" customWidth="1"/>
    <col min="9" max="257" width="9.109375" customWidth="1"/>
  </cols>
  <sheetData>
    <row r="1" spans="1:9" x14ac:dyDescent="0.25">
      <c r="A1" s="6" t="s">
        <v>266</v>
      </c>
      <c r="B1" s="6"/>
      <c r="C1" s="6"/>
      <c r="D1" s="51"/>
      <c r="E1" s="51"/>
      <c r="F1" s="51"/>
      <c r="G1" s="51"/>
      <c r="H1" s="51"/>
      <c r="I1" s="51"/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6" t="str">
        <f>+EESP!A3</f>
        <v>31 de Julio de 2026</v>
      </c>
      <c r="B3" s="6"/>
      <c r="C3" s="6"/>
      <c r="D3" s="51"/>
      <c r="E3" s="51"/>
      <c r="F3" s="51"/>
      <c r="G3" s="51"/>
      <c r="H3" s="51"/>
      <c r="I3" s="51"/>
    </row>
    <row r="4" spans="1:9" x14ac:dyDescent="0.25">
      <c r="A4" s="50"/>
      <c r="B4" s="50"/>
      <c r="C4" s="50"/>
      <c r="D4" s="50"/>
      <c r="E4" s="50"/>
    </row>
    <row r="5" spans="1:9" x14ac:dyDescent="0.25">
      <c r="A5" s="6" t="s">
        <v>301</v>
      </c>
      <c r="B5" s="6"/>
      <c r="C5" s="6"/>
      <c r="D5" s="51"/>
      <c r="E5" s="51"/>
      <c r="F5" s="51"/>
      <c r="G5" s="51"/>
      <c r="H5" s="51"/>
      <c r="I5" s="51"/>
    </row>
    <row r="6" spans="1:9" x14ac:dyDescent="0.25">
      <c r="A6" s="50"/>
      <c r="B6" s="50"/>
      <c r="C6" s="50"/>
      <c r="D6" s="50"/>
      <c r="E6" s="50"/>
    </row>
    <row r="7" ht="13.8" customHeight="1" spans="1:9" x14ac:dyDescent="0.25">
      <c r="A7" s="50"/>
      <c r="B7" s="50"/>
      <c r="C7" s="50"/>
      <c r="D7" s="50"/>
      <c r="E7" s="50"/>
    </row>
    <row r="8" ht="13.8" customHeight="1" spans="1:9" x14ac:dyDescent="0.25">
      <c r="A8" s="9"/>
      <c r="B8" s="10"/>
      <c r="C8" s="12"/>
      <c r="D8" s="52"/>
      <c r="E8" s="50"/>
    </row>
    <row r="9" spans="1:9" x14ac:dyDescent="0.25">
      <c r="A9" s="15"/>
      <c r="B9" s="14"/>
      <c r="C9" s="17">
        <f>+EESP!F9</f>
        <v>46234</v>
      </c>
      <c r="D9" s="53">
        <f>+EESP!G9</f>
        <v>0</v>
      </c>
      <c r="E9" s="50"/>
    </row>
    <row r="10" spans="1:9" x14ac:dyDescent="0.25">
      <c r="A10" s="15"/>
      <c r="B10" s="14"/>
      <c r="C10" s="21"/>
      <c r="D10" s="54"/>
      <c r="E10" s="50"/>
    </row>
    <row r="11" spans="1:9" x14ac:dyDescent="0.25">
      <c r="A11" s="15"/>
      <c r="B11" s="14"/>
      <c r="C11" s="24"/>
      <c r="D11" s="55"/>
      <c r="E11" s="50"/>
    </row>
    <row r="12" spans="1:9" x14ac:dyDescent="0.25">
      <c r="A12" s="15" t="s">
        <v>302</v>
      </c>
      <c r="B12" s="14"/>
      <c r="C12" s="27">
        <f>+SALDOS!D119-SALDOS!C119</f>
      </c>
      <c r="D12" s="55"/>
      <c r="E12" s="50"/>
    </row>
    <row r="13" spans="1:9" x14ac:dyDescent="0.25">
      <c r="A13" s="15"/>
      <c r="B13" s="14"/>
      <c r="C13" s="27"/>
      <c r="D13" s="55"/>
      <c r="E13" s="50"/>
    </row>
    <row r="14" spans="1:9" x14ac:dyDescent="0.25">
      <c r="A14" s="15"/>
      <c r="B14" s="14"/>
      <c r="C14" s="27"/>
      <c r="D14" s="55"/>
      <c r="E14" s="50"/>
    </row>
    <row r="15" spans="1:9" x14ac:dyDescent="0.25">
      <c r="A15" s="15" t="s">
        <v>303</v>
      </c>
      <c r="B15" s="14" t="s">
        <v>269</v>
      </c>
      <c r="C15" s="27">
        <f>+'Anexo II'!E108</f>
        <v>317420.98</v>
      </c>
      <c r="D15" s="55"/>
      <c r="E15" s="50"/>
    </row>
    <row r="16" spans="1:9" x14ac:dyDescent="0.25">
      <c r="A16" s="15" t="s">
        <v>304</v>
      </c>
      <c r="B16" s="14"/>
      <c r="C16" s="27">
        <f>+'Anexo II'!D108</f>
        <v>28817.340000000004</v>
      </c>
      <c r="D16" s="55"/>
      <c r="E16" s="50"/>
    </row>
    <row r="17" spans="1:9" x14ac:dyDescent="0.25">
      <c r="A17" s="15" t="s">
        <v>305</v>
      </c>
      <c r="B17" s="14"/>
      <c r="C17" s="27">
        <f>+'Anexo II'!F108</f>
        <v>5921.83</v>
      </c>
      <c r="D17" s="56"/>
      <c r="E17" s="50"/>
    </row>
    <row r="18" spans="1:9" x14ac:dyDescent="0.25">
      <c r="A18" s="15"/>
      <c r="B18" s="14"/>
      <c r="C18" s="27"/>
      <c r="D18" s="55"/>
      <c r="E18" s="50"/>
    </row>
    <row r="19" spans="1:9" x14ac:dyDescent="0.25">
      <c r="A19" s="15" t="s">
        <v>306</v>
      </c>
      <c r="B19" s="14"/>
      <c r="C19" s="31">
        <f>+C12+C13-C15-C16-C17</f>
        <v>-352160.15</v>
      </c>
      <c r="D19" s="56"/>
      <c r="E19" s="50"/>
    </row>
    <row r="20" spans="1:9" x14ac:dyDescent="0.25">
      <c r="A20" s="15" t="s">
        <v>307</v>
      </c>
      <c r="B20" s="14"/>
      <c r="C20" s="27">
        <f>+SALDOS!D125</f>
      </c>
      <c r="D20" s="55"/>
      <c r="E20" s="50"/>
    </row>
    <row r="21" spans="1:9" x14ac:dyDescent="0.25">
      <c r="A21" s="15" t="s">
        <v>308</v>
      </c>
      <c r="B21" s="14"/>
      <c r="C21" s="27">
        <f>+SALDOS!D121+SALDOS!D124+SALDOS!D205+SALDOS!D122</f>
        <v>2310.25</v>
      </c>
      <c r="D21" s="55"/>
      <c r="E21" s="50"/>
    </row>
    <row r="22" spans="1:9" x14ac:dyDescent="0.25">
      <c r="A22" s="15" t="s">
        <v>309</v>
      </c>
      <c r="B22" s="14"/>
      <c r="C22" s="27">
        <f>+SALDOS!D222</f>
        <v>3231.776840406703</v>
      </c>
      <c r="D22" s="55"/>
      <c r="E22" s="50"/>
      <c r="F22" s="46"/>
    </row>
    <row r="23" spans="1:9" x14ac:dyDescent="0.25">
      <c r="A23" s="15" t="s">
        <v>310</v>
      </c>
      <c r="B23" s="14"/>
      <c r="C23" s="27">
        <f>-SALDOS!C222</f>
      </c>
      <c r="D23" s="55"/>
      <c r="E23" s="50"/>
      <c r="F23" s="46"/>
    </row>
    <row r="24" spans="1:9" x14ac:dyDescent="0.25">
      <c r="A24" s="15" t="s">
        <v>311</v>
      </c>
      <c r="B24" s="14"/>
      <c r="C24" s="27">
        <f>+SALDOS!D126</f>
      </c>
      <c r="D24" s="55"/>
      <c r="E24" s="50"/>
    </row>
    <row r="25" spans="1:9" x14ac:dyDescent="0.25">
      <c r="A25" s="15" t="s">
        <v>312</v>
      </c>
      <c r="B25" s="14"/>
      <c r="C25" s="31">
        <f>+C19+C20+C22+C21+C24+C23</f>
        <v>-346618.1231595933</v>
      </c>
      <c r="D25" s="55"/>
      <c r="E25" s="46"/>
      <c r="F25" s="46"/>
      <c r="G25" s="46"/>
      <c r="H25" s="46"/>
      <c r="I25" s="46"/>
    </row>
    <row r="26" spans="1:9" x14ac:dyDescent="0.25">
      <c r="A26" s="15" t="s">
        <v>313</v>
      </c>
      <c r="B26" s="14"/>
      <c r="C26" s="27"/>
      <c r="D26" s="55"/>
      <c r="E26" s="50"/>
    </row>
    <row r="27" spans="1:9" x14ac:dyDescent="0.25">
      <c r="A27" s="15"/>
      <c r="B27" s="14"/>
      <c r="C27" s="27"/>
      <c r="D27" s="55"/>
      <c r="E27" s="50"/>
    </row>
    <row r="28" spans="1:9" x14ac:dyDescent="0.25">
      <c r="A28" s="15" t="s">
        <v>314</v>
      </c>
      <c r="B28" s="14"/>
      <c r="C28" s="31">
        <f>+C25-C26</f>
        <v>-346618.1231595933</v>
      </c>
      <c r="D28" s="55"/>
      <c r="E28" s="46"/>
      <c r="F28" s="46"/>
      <c r="G28" s="46"/>
    </row>
    <row r="29" spans="1:9" x14ac:dyDescent="0.25">
      <c r="A29" s="15"/>
      <c r="B29" s="14"/>
      <c r="C29" s="57"/>
      <c r="D29" s="55"/>
      <c r="E29" s="50"/>
    </row>
    <row r="30" ht="13.8" customHeight="1" spans="1:9" x14ac:dyDescent="0.25">
      <c r="A30" s="38"/>
      <c r="B30" s="39"/>
      <c r="C30" s="58"/>
      <c r="D30" s="59"/>
      <c r="E30" s="50"/>
    </row>
    <row r="31" ht="13.8" customHeight="1" spans="1:9" x14ac:dyDescent="0.25">
      <c r="A31" s="50"/>
      <c r="B31" s="50"/>
      <c r="C31" s="46"/>
      <c r="D31" s="50"/>
      <c r="E31" s="50"/>
    </row>
    <row r="32" spans="1:9" x14ac:dyDescent="0.25">
      <c r="A32" s="50"/>
      <c r="B32" s="50"/>
      <c r="C32" s="46"/>
      <c r="D32" s="50"/>
      <c r="E32" s="60"/>
      <c r="F32" s="46"/>
    </row>
    <row r="33" spans="1:9" x14ac:dyDescent="0.25">
      <c r="A33" s="50"/>
      <c r="B33" s="50"/>
      <c r="C33" s="46"/>
      <c r="D33" s="50"/>
      <c r="E33" s="50"/>
    </row>
    <row r="34" spans="1:9" x14ac:dyDescent="0.25">
      <c r="A34" s="50"/>
      <c r="B34" s="50"/>
      <c r="C34" s="46"/>
      <c r="D34" s="50"/>
      <c r="E34" s="50"/>
    </row>
    <row r="35" spans="1:9" x14ac:dyDescent="0.25">
      <c r="A35" s="50"/>
      <c r="B35" s="50"/>
      <c r="C35" s="61"/>
      <c r="D35" s="50"/>
      <c r="E35" s="50"/>
      <c r="F35" s="49"/>
    </row>
  </sheetData>
  <mergeCells count="3">
    <mergeCell ref="A1:C1"/>
    <mergeCell ref="A3:C3"/>
    <mergeCell ref="A5:C5"/>
  </mergeCells>
  <pageMargins left="0.75" right="0.75" top="1" bottom="1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 zoomScale="90" zoomScaleNormal="90">
      <selection activeCell="A3" sqref="A3"/>
    </sheetView>
  </sheetViews>
  <sheetFormatPr defaultRowHeight="0" outlineLevelRow="0" outlineLevelCol="0" x14ac:dyDescent="0" customHeight="1"/>
  <cols>
    <col min="1" max="1" width="0.44140625" customWidth="1"/>
    <col min="2" max="2" width="31" customWidth="1"/>
    <col min="3" max="3" width="12.88671875" customWidth="1"/>
    <col min="4" max="4" width="12.6640625" customWidth="1"/>
    <col min="5" max="5" width="13.88671875" customWidth="1"/>
    <col min="6" max="6" width="12.44140625" customWidth="1"/>
    <col min="7" max="7" width="13.6640625" customWidth="1"/>
    <col min="8" max="8" width="16.109375" customWidth="1"/>
    <col min="9" max="9" width="16.88671875" customWidth="1"/>
    <col min="10" max="10" width="19.5546875" customWidth="1"/>
    <col min="11" max="11" width="14.6640625" hidden="1" customWidth="1"/>
    <col min="12" max="257" width="9.109375" customWidth="1"/>
  </cols>
  <sheetData>
    <row r="1" ht="15.6" customHeight="1" spans="1:11" x14ac:dyDescent="0.25">
      <c r="A1" s="62" t="str">
        <f>+EESP!A1</f>
        <v>TRANSPORTES FURLONG S.A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x14ac:dyDescent="0.25">
      <c r="A2" s="64" t="str">
        <f>+EESP!A3</f>
        <v>31 de Julio de 2026</v>
      </c>
      <c r="B2" s="6" t="str">
        <f>+EESP!A3</f>
        <v>31 de Julio de 2026</v>
      </c>
      <c r="C2" s="6"/>
      <c r="D2" s="6"/>
      <c r="E2" s="6"/>
      <c r="F2" s="6"/>
      <c r="G2" s="6"/>
      <c r="H2" s="6"/>
      <c r="I2" s="6"/>
      <c r="J2" s="6"/>
      <c r="K2" s="63"/>
    </row>
    <row r="3" spans="1:11" x14ac:dyDescent="0.25">
      <c r="A3" s="6" t="s">
        <v>315</v>
      </c>
      <c r="B3" s="6"/>
      <c r="C3" s="6"/>
      <c r="D3" s="6"/>
      <c r="E3" s="6"/>
      <c r="F3" s="6"/>
      <c r="G3" s="6"/>
      <c r="H3" s="6"/>
      <c r="I3" s="6"/>
      <c r="J3" s="6"/>
      <c r="K3" s="63"/>
    </row>
    <row r="4" ht="13.8" customHeight="1" spans="1:11" x14ac:dyDescent="0.25">
      <c r="A4" s="63" t="s">
        <v>269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ht="13.8" customHeight="1" spans="1:11" x14ac:dyDescent="0.25">
      <c r="A5" s="65"/>
      <c r="B5" s="65"/>
      <c r="C5" s="66" t="s">
        <v>316</v>
      </c>
      <c r="D5" s="67"/>
      <c r="E5" s="67"/>
      <c r="F5" s="66"/>
      <c r="G5" s="67"/>
      <c r="H5" s="68"/>
      <c r="I5" s="68"/>
      <c r="J5" s="69">
        <f>+EESP!F9</f>
        <v>46234</v>
      </c>
      <c r="K5" s="70">
        <f>+EESP!G9</f>
        <v>0</v>
      </c>
    </row>
    <row r="6" spans="1:11" x14ac:dyDescent="0.25">
      <c r="A6" s="71"/>
      <c r="B6" s="71" t="s">
        <v>317</v>
      </c>
      <c r="C6" s="72" t="s">
        <v>318</v>
      </c>
      <c r="D6" s="73"/>
      <c r="E6" s="74"/>
      <c r="F6" s="75" t="s">
        <v>319</v>
      </c>
      <c r="G6" s="76" t="s">
        <v>320</v>
      </c>
      <c r="H6" s="74"/>
      <c r="I6" s="77" t="s">
        <v>157</v>
      </c>
      <c r="J6" s="78" t="s">
        <v>321</v>
      </c>
      <c r="K6" s="79" t="s">
        <v>321</v>
      </c>
    </row>
    <row r="7" spans="1:11" x14ac:dyDescent="0.25">
      <c r="A7" s="71"/>
      <c r="B7" s="71"/>
      <c r="C7" s="80" t="s">
        <v>322</v>
      </c>
      <c r="D7" s="80" t="s">
        <v>323</v>
      </c>
      <c r="E7" s="80" t="s">
        <v>324</v>
      </c>
      <c r="F7" s="72" t="s">
        <v>325</v>
      </c>
      <c r="G7" s="80" t="s">
        <v>326</v>
      </c>
      <c r="H7" s="77" t="s">
        <v>327</v>
      </c>
      <c r="I7" s="77" t="s">
        <v>328</v>
      </c>
      <c r="J7" s="78" t="s">
        <v>329</v>
      </c>
      <c r="K7" s="79" t="s">
        <v>329</v>
      </c>
    </row>
    <row r="8" spans="1:11" x14ac:dyDescent="0.25">
      <c r="A8" s="71"/>
      <c r="B8" s="71"/>
      <c r="C8" s="77"/>
      <c r="D8" s="77" t="s">
        <v>330</v>
      </c>
      <c r="E8" s="77" t="s">
        <v>322</v>
      </c>
      <c r="F8" s="72" t="s">
        <v>331</v>
      </c>
      <c r="G8" s="77" t="s">
        <v>332</v>
      </c>
      <c r="H8" s="77" t="s">
        <v>333</v>
      </c>
      <c r="I8" s="77" t="s">
        <v>334</v>
      </c>
      <c r="J8" s="78" t="s">
        <v>335</v>
      </c>
      <c r="K8" s="79" t="s">
        <v>335</v>
      </c>
    </row>
    <row r="9" spans="1:11" x14ac:dyDescent="0.25">
      <c r="A9" s="81"/>
      <c r="B9" s="81"/>
      <c r="C9" s="82" t="s">
        <v>336</v>
      </c>
      <c r="D9" s="82" t="s">
        <v>336</v>
      </c>
      <c r="E9" s="82" t="s">
        <v>336</v>
      </c>
      <c r="F9" s="75" t="s">
        <v>336</v>
      </c>
      <c r="G9" s="82" t="s">
        <v>336</v>
      </c>
      <c r="H9" s="82" t="s">
        <v>336</v>
      </c>
      <c r="I9" s="82" t="s">
        <v>336</v>
      </c>
      <c r="J9" s="83" t="s">
        <v>336</v>
      </c>
      <c r="K9" s="84" t="s">
        <v>336</v>
      </c>
    </row>
    <row r="10" spans="1:11" x14ac:dyDescent="0.25">
      <c r="A10" s="85"/>
      <c r="B10" s="85"/>
      <c r="C10" s="86"/>
      <c r="D10" s="86"/>
      <c r="E10" s="86"/>
      <c r="F10" s="86"/>
      <c r="G10" s="86"/>
      <c r="H10" s="87"/>
      <c r="I10" s="87"/>
      <c r="J10" s="88"/>
      <c r="K10" s="89"/>
    </row>
    <row r="11" spans="1:11" x14ac:dyDescent="0.25">
      <c r="A11" s="85" t="s">
        <v>337</v>
      </c>
      <c r="B11" s="85" t="s">
        <v>338</v>
      </c>
      <c r="C11" s="90">
        <v>0</v>
      </c>
      <c r="D11" s="90">
        <v>0</v>
      </c>
      <c r="E11" s="90">
        <f>+C11+D11</f>
        <v>0</v>
      </c>
      <c r="F11" s="90">
        <v>0</v>
      </c>
      <c r="G11" s="90">
        <v>0</v>
      </c>
      <c r="H11" s="90">
        <v>0</v>
      </c>
      <c r="I11" s="90">
        <f>-SALDOS!E116</f>
      </c>
      <c r="J11" s="91">
        <f>+E11+F11+G11+I11</f>
        <v>0</v>
      </c>
      <c r="K11" s="92"/>
    </row>
    <row r="12" spans="1:11" x14ac:dyDescent="0.25">
      <c r="A12" s="85"/>
      <c r="B12" s="85"/>
      <c r="C12" s="90"/>
      <c r="D12" s="90"/>
      <c r="E12" s="90"/>
      <c r="F12" s="90"/>
      <c r="G12" s="90"/>
      <c r="H12" s="90"/>
      <c r="I12" s="90"/>
      <c r="J12" s="91"/>
      <c r="K12" s="92"/>
    </row>
    <row r="13" ht="13.8" customHeight="1" spans="1:11" x14ac:dyDescent="0.25">
      <c r="A13" s="85"/>
      <c r="B13" s="85"/>
      <c r="C13" s="93">
        <f>SUM(C11:C11)</f>
        <v>0</v>
      </c>
      <c r="D13" s="93">
        <f>SUM(D11:D11)</f>
        <v>0</v>
      </c>
      <c r="E13" s="93">
        <f>SUM(E11:E11)</f>
        <v>0</v>
      </c>
      <c r="F13" s="93">
        <f>SUM(F11:F11)</f>
        <v>0</v>
      </c>
      <c r="G13" s="93">
        <f>SUM(G11:G11)</f>
        <v>0</v>
      </c>
      <c r="H13" s="93">
        <f>SUM(H11:H11)</f>
        <v>0</v>
      </c>
      <c r="I13" s="93">
        <f>+I12+I11</f>
        <v>0</v>
      </c>
      <c r="J13" s="94">
        <f>+J12+J11</f>
        <v>0</v>
      </c>
      <c r="K13" s="95">
        <f>SUM(K11:K11)</f>
        <v>0</v>
      </c>
    </row>
    <row r="14" ht="13.8" customHeight="1" spans="1:11" x14ac:dyDescent="0.25">
      <c r="A14" s="85"/>
      <c r="B14" s="85"/>
      <c r="C14" s="90"/>
      <c r="D14" s="90"/>
      <c r="E14" s="90"/>
      <c r="F14" s="90"/>
      <c r="G14" s="90"/>
      <c r="H14" s="90"/>
      <c r="I14" s="90"/>
      <c r="J14" s="91"/>
      <c r="K14" s="92"/>
    </row>
    <row r="15" hidden="1" spans="1:11" x14ac:dyDescent="0.25">
      <c r="A15" s="85"/>
      <c r="B15" s="85" t="s">
        <v>339</v>
      </c>
      <c r="C15" s="90"/>
      <c r="D15" s="90"/>
      <c r="E15" s="90"/>
      <c r="F15" s="90"/>
      <c r="G15" s="90"/>
      <c r="H15" s="90"/>
      <c r="I15" s="90">
        <v>0</v>
      </c>
      <c r="J15" s="91">
        <f>+E15+F15+G15+I15</f>
        <v>0</v>
      </c>
      <c r="K15" s="92"/>
    </row>
    <row r="16" spans="1:11" x14ac:dyDescent="0.25">
      <c r="A16" s="85"/>
      <c r="B16" s="85" t="s">
        <v>340</v>
      </c>
      <c r="C16" s="90" t="s">
        <v>269</v>
      </c>
      <c r="D16" s="90"/>
      <c r="E16" s="90"/>
      <c r="F16" s="90"/>
      <c r="G16" s="90"/>
      <c r="H16" s="90"/>
      <c r="I16" s="90">
        <f>+EERR!C28</f>
        <v>-346618.1231595933</v>
      </c>
      <c r="J16" s="91">
        <f>+I16</f>
        <v>-346618.1231595933</v>
      </c>
      <c r="K16" s="92"/>
    </row>
    <row r="17" spans="1:11" x14ac:dyDescent="0.25">
      <c r="A17" s="85"/>
      <c r="B17" s="85"/>
      <c r="C17" s="90"/>
      <c r="D17" s="90"/>
      <c r="E17" s="90"/>
      <c r="F17" s="90"/>
      <c r="G17" s="90"/>
      <c r="H17" s="90"/>
      <c r="I17" s="90"/>
      <c r="J17" s="91"/>
      <c r="K17" s="92"/>
    </row>
    <row r="18" ht="13.8" customHeight="1" spans="1:11" x14ac:dyDescent="0.25">
      <c r="A18" s="96"/>
      <c r="B18" s="97" t="s">
        <v>341</v>
      </c>
      <c r="C18" s="93">
        <f>+C13</f>
        <v>0</v>
      </c>
      <c r="D18" s="93">
        <f>+D13</f>
        <v>0</v>
      </c>
      <c r="E18" s="93">
        <f>+E13</f>
        <v>0</v>
      </c>
      <c r="F18" s="93">
        <f>+F13</f>
        <v>0</v>
      </c>
      <c r="G18" s="93">
        <f>+G13</f>
        <v>0</v>
      </c>
      <c r="H18" s="93">
        <f>+H13</f>
        <v>0</v>
      </c>
      <c r="I18" s="93">
        <f>+I13+I16+I14+I15</f>
        <v>-346618.1231595933</v>
      </c>
      <c r="J18" s="94">
        <f>+J13+J16+J15</f>
        <v>-346618.1231595933</v>
      </c>
      <c r="K18" s="98">
        <f>+K13+K16</f>
        <v>0</v>
      </c>
    </row>
    <row r="19" ht="13.8" customHeight="1" hidden="1" spans="1:11" x14ac:dyDescent="0.25">
      <c r="A19" s="96"/>
      <c r="B19" s="99" t="s">
        <v>342</v>
      </c>
      <c r="C19" s="100"/>
      <c r="D19" s="100"/>
      <c r="E19" s="100">
        <f>+C19+D19</f>
        <v>0</v>
      </c>
      <c r="F19" s="101"/>
      <c r="G19" s="101">
        <v>0</v>
      </c>
      <c r="H19" s="101"/>
      <c r="I19" s="100">
        <v>0</v>
      </c>
      <c r="J19" s="102">
        <f>+E19</f>
        <v>0</v>
      </c>
      <c r="K19" s="103">
        <f>+G19</f>
        <v>0</v>
      </c>
    </row>
    <row r="20" ht="13.8" customHeight="1" spans="1:11" x14ac:dyDescent="0.25">
      <c r="A20" s="63"/>
      <c r="B20" s="63"/>
      <c r="C20" s="63"/>
      <c r="D20" s="63"/>
      <c r="E20" s="63"/>
      <c r="F20" s="63"/>
      <c r="G20" s="63"/>
      <c r="H20" s="63"/>
      <c r="I20" s="104"/>
      <c r="J20" s="63"/>
      <c r="K20" s="63"/>
    </row>
    <row r="21" spans="1:11" x14ac:dyDescent="0.25">
      <c r="A21" s="63"/>
      <c r="B21" s="63" t="s">
        <v>343</v>
      </c>
      <c r="C21" s="63"/>
      <c r="D21" s="63"/>
      <c r="E21" s="63"/>
      <c r="F21" s="63"/>
      <c r="G21" s="63"/>
      <c r="H21" s="104"/>
      <c r="I21" s="105"/>
      <c r="J21" s="63"/>
      <c r="K21" s="106"/>
    </row>
    <row r="22" spans="1:11" x14ac:dyDescent="0.25">
      <c r="A22" s="63"/>
      <c r="B22" s="63" t="s">
        <v>344</v>
      </c>
      <c r="C22" s="63"/>
      <c r="D22" s="63"/>
      <c r="E22" s="107"/>
      <c r="F22" s="63"/>
      <c r="G22" s="63"/>
      <c r="H22" s="63"/>
      <c r="I22" s="63"/>
      <c r="J22" s="63"/>
      <c r="K22" s="63"/>
    </row>
    <row r="23" spans="1:11" x14ac:dyDescent="0.25">
      <c r="A23" s="63"/>
      <c r="B23" s="63"/>
      <c r="C23" s="63"/>
      <c r="D23" s="63"/>
      <c r="E23" s="63"/>
      <c r="F23" s="63"/>
      <c r="G23" s="63"/>
      <c r="H23" s="63"/>
      <c r="I23" s="106"/>
      <c r="J23" s="63"/>
      <c r="K23" s="63"/>
    </row>
    <row r="24" spans="1:1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</row>
    <row r="25" spans="1:1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</row>
    <row r="26" spans="1:11" x14ac:dyDescent="0.25">
      <c r="A26" s="63"/>
      <c r="B26" s="63"/>
      <c r="C26" s="63"/>
      <c r="D26" s="63"/>
      <c r="E26" s="106"/>
      <c r="F26" s="63"/>
      <c r="G26" s="63"/>
      <c r="H26" s="63"/>
      <c r="I26" s="63"/>
      <c r="J26" s="63"/>
      <c r="K26" s="63"/>
    </row>
    <row r="27" spans="1:1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spans="1:1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</row>
    <row r="29" spans="1:11" x14ac:dyDescent="0.25">
      <c r="A29" s="63"/>
      <c r="B29" s="63"/>
      <c r="C29" s="73"/>
      <c r="D29" s="73"/>
      <c r="E29" s="63"/>
      <c r="F29" s="63"/>
      <c r="G29" s="63"/>
      <c r="H29" s="63"/>
      <c r="I29" s="73"/>
      <c r="J29" s="63"/>
      <c r="K29" s="63"/>
    </row>
    <row r="30" spans="1:11" x14ac:dyDescent="0.25">
      <c r="A30" s="63"/>
      <c r="B30" s="63"/>
      <c r="C30" s="73"/>
      <c r="D30" s="73"/>
      <c r="E30" s="63"/>
      <c r="F30" s="63"/>
      <c r="G30" s="63"/>
      <c r="H30" s="63"/>
      <c r="I30" s="73"/>
      <c r="J30" s="63"/>
      <c r="K30" s="63"/>
    </row>
    <row r="31" spans="1:11" x14ac:dyDescent="0.25">
      <c r="A31" s="63"/>
      <c r="B31" s="63"/>
      <c r="C31" s="73"/>
      <c r="D31" s="73"/>
      <c r="E31" s="63"/>
      <c r="F31" s="63"/>
      <c r="G31" s="63"/>
      <c r="H31" s="63"/>
      <c r="I31" s="73"/>
      <c r="J31" s="63"/>
      <c r="K31" s="63"/>
    </row>
  </sheetData>
  <mergeCells count="3">
    <mergeCell ref="A1:J1"/>
    <mergeCell ref="B2:J2"/>
    <mergeCell ref="A3:J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workbookViewId="0" zoomScale="100" zoomScaleNormal="100">
      <selection activeCell="B1" sqref="B1"/>
    </sheetView>
  </sheetViews>
  <sheetFormatPr defaultRowHeight="0" outlineLevelRow="0" outlineLevelCol="0" x14ac:dyDescent="0" customHeight="1"/>
  <cols>
    <col min="1" max="1" width="2.88671875" customWidth="1"/>
    <col min="2" max="2" width="3.33203125" customWidth="1"/>
    <col min="3" max="3" width="2.5546875" customWidth="1"/>
    <col min="4" max="4" width="11.33203125" customWidth="1"/>
    <col min="5" max="5" width="15" customWidth="1"/>
    <col min="6" max="6" width="12.5546875" customWidth="1"/>
    <col min="7" max="7" width="2.33203125" customWidth="1"/>
    <col min="8" max="8" width="12.5546875" hidden="1" customWidth="1"/>
    <col min="9" max="10" width="13.6640625" customWidth="1"/>
    <col min="11" max="257" width="11.33203125" customWidth="1"/>
  </cols>
  <sheetData>
    <row r="1" ht="15.6" customHeight="1" spans="1:11" x14ac:dyDescent="0.25">
      <c r="A1" s="63"/>
      <c r="B1" s="108" t="s">
        <v>345</v>
      </c>
      <c r="C1" s="108"/>
      <c r="D1" s="63"/>
      <c r="E1" s="108" t="s">
        <v>346</v>
      </c>
      <c r="F1" s="63"/>
      <c r="G1" s="63"/>
      <c r="H1" s="63"/>
      <c r="I1" s="63"/>
      <c r="J1" s="63"/>
      <c r="K1" s="63"/>
    </row>
    <row r="2" spans="1:1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x14ac:dyDescent="0.25">
      <c r="A3" s="63"/>
      <c r="B3" s="63" t="str">
        <f>+EESP!A3</f>
        <v>31 de Julio de 2026</v>
      </c>
      <c r="C3" s="63"/>
      <c r="D3" s="63"/>
      <c r="E3" s="63"/>
      <c r="F3" s="63"/>
      <c r="G3" s="63"/>
      <c r="H3" s="63"/>
      <c r="I3" s="63"/>
      <c r="J3" s="63"/>
      <c r="K3" s="63"/>
    </row>
    <row r="4" spans="1:11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 x14ac:dyDescent="0.25">
      <c r="A5" s="63"/>
      <c r="B5" s="109"/>
      <c r="C5" s="109"/>
      <c r="D5" s="109"/>
      <c r="E5" s="109"/>
      <c r="F5" s="110">
        <f>+EESP!F9</f>
        <v>46234</v>
      </c>
      <c r="G5" s="111"/>
      <c r="H5" s="112">
        <v>38717</v>
      </c>
      <c r="I5" s="63"/>
      <c r="J5" s="63"/>
      <c r="K5" s="63"/>
    </row>
    <row r="6" spans="1:11" x14ac:dyDescent="0.25">
      <c r="A6" s="63"/>
      <c r="B6" s="113" t="s">
        <v>347</v>
      </c>
      <c r="C6" s="109"/>
      <c r="D6" s="109"/>
      <c r="E6" s="109"/>
      <c r="F6" s="109"/>
      <c r="G6" s="63"/>
      <c r="H6" s="63"/>
      <c r="I6" s="63"/>
      <c r="J6" s="63"/>
      <c r="K6" s="63"/>
    </row>
    <row r="7" spans="1:11" x14ac:dyDescent="0.25">
      <c r="A7" s="63"/>
      <c r="B7" s="113" t="s">
        <v>348</v>
      </c>
      <c r="C7" s="109"/>
      <c r="D7" s="109"/>
      <c r="E7" s="109"/>
      <c r="F7" s="109"/>
      <c r="G7" s="63"/>
      <c r="H7" s="63"/>
      <c r="I7" s="63"/>
      <c r="J7" s="63"/>
      <c r="K7" s="63"/>
    </row>
    <row r="8" spans="1:11" x14ac:dyDescent="0.25">
      <c r="A8" s="63"/>
      <c r="B8" s="109" t="s">
        <v>349</v>
      </c>
      <c r="C8" s="114" t="s">
        <v>350</v>
      </c>
      <c r="D8" s="109"/>
      <c r="E8" s="109"/>
      <c r="F8" s="109"/>
      <c r="G8" s="63"/>
      <c r="H8" s="63"/>
      <c r="I8" s="63"/>
      <c r="J8" s="63"/>
      <c r="K8" s="63"/>
    </row>
    <row r="9" hidden="1" spans="1:11" x14ac:dyDescent="0.25">
      <c r="A9" s="63"/>
      <c r="B9" s="109"/>
      <c r="C9" s="114"/>
      <c r="D9" s="109" t="s">
        <v>351</v>
      </c>
      <c r="E9" s="109"/>
      <c r="F9" s="115"/>
      <c r="G9" s="63"/>
      <c r="H9" s="63"/>
      <c r="I9" s="63"/>
      <c r="J9" s="63"/>
      <c r="K9" s="63"/>
    </row>
    <row r="10" hidden="1" spans="1:11" x14ac:dyDescent="0.25">
      <c r="A10" s="63"/>
      <c r="B10" s="109"/>
      <c r="C10" s="109"/>
      <c r="D10" s="109" t="s">
        <v>352</v>
      </c>
      <c r="E10" s="109"/>
      <c r="F10" s="115">
        <f>+SALDOS!D8+SALDOS!C8</f>
        <v>0</v>
      </c>
      <c r="G10" s="104"/>
      <c r="H10" s="63"/>
      <c r="I10" s="63"/>
      <c r="J10" s="63"/>
      <c r="K10" s="63"/>
    </row>
    <row r="11" spans="1:11" x14ac:dyDescent="0.25">
      <c r="A11" s="63"/>
      <c r="B11" s="109"/>
      <c r="C11" s="109"/>
      <c r="D11" s="109" t="s">
        <v>353</v>
      </c>
      <c r="E11" s="109"/>
      <c r="F11" s="115">
        <f>SALDOS!C7-SALDOS!D7</f>
        <v>-904.9543669546964</v>
      </c>
      <c r="G11" s="104"/>
      <c r="H11" s="63"/>
      <c r="I11" s="63"/>
      <c r="J11" s="63"/>
      <c r="K11" s="63"/>
    </row>
    <row r="12" spans="1:11" x14ac:dyDescent="0.25">
      <c r="A12" s="63"/>
      <c r="B12" s="109"/>
      <c r="C12" s="109"/>
      <c r="D12" s="109" t="s">
        <v>354</v>
      </c>
      <c r="E12" s="109"/>
      <c r="F12" s="115">
        <f>SALDOS!C9-SALDOS!D9</f>
        <v>-85668.93436256825</v>
      </c>
      <c r="G12" s="104"/>
      <c r="H12" s="63"/>
      <c r="I12" s="63"/>
      <c r="J12" s="63"/>
      <c r="K12" s="63"/>
    </row>
    <row r="13" hidden="1" spans="1:11" x14ac:dyDescent="0.25">
      <c r="A13" s="63"/>
      <c r="B13" s="109"/>
      <c r="C13" s="109"/>
      <c r="D13" s="109" t="s">
        <v>355</v>
      </c>
      <c r="E13" s="109"/>
      <c r="F13" s="115">
        <f>+SALDOS!D10+SALDOS!C10</f>
        <v>0</v>
      </c>
      <c r="G13" s="104"/>
      <c r="H13" s="63"/>
      <c r="I13" s="63"/>
      <c r="J13" s="63"/>
      <c r="K13" s="63"/>
    </row>
    <row r="14" hidden="1" spans="1:11" x14ac:dyDescent="0.25">
      <c r="A14" s="63"/>
      <c r="B14" s="109"/>
      <c r="C14" s="109"/>
      <c r="D14" s="109" t="s">
        <v>356</v>
      </c>
      <c r="E14" s="109"/>
      <c r="F14" s="115"/>
      <c r="G14" s="104"/>
      <c r="H14" s="63"/>
      <c r="I14" s="63"/>
      <c r="J14" s="63"/>
      <c r="K14" s="63"/>
    </row>
    <row r="15" hidden="1" spans="1:11" x14ac:dyDescent="0.25">
      <c r="A15" s="63"/>
      <c r="B15" s="109"/>
      <c r="C15" s="109"/>
      <c r="D15" s="109" t="s">
        <v>357</v>
      </c>
      <c r="E15" s="109"/>
      <c r="F15" s="115"/>
      <c r="G15" s="104"/>
      <c r="H15" s="63"/>
      <c r="I15" s="63"/>
      <c r="J15" s="63"/>
      <c r="K15" s="63"/>
    </row>
    <row r="16" ht="13.8" customHeight="1" spans="1:11" x14ac:dyDescent="0.25">
      <c r="A16" s="63"/>
      <c r="B16" s="109"/>
      <c r="C16" s="109" t="s">
        <v>269</v>
      </c>
      <c r="D16" s="109"/>
      <c r="E16" s="109"/>
      <c r="F16" s="116">
        <f>SUM(F9:F15)</f>
        <v>-86573.88872952295</v>
      </c>
      <c r="G16" s="104"/>
      <c r="H16" s="104"/>
      <c r="I16" s="104"/>
      <c r="J16" s="104"/>
      <c r="K16" s="63"/>
    </row>
    <row r="17" ht="13.8" customHeight="1" spans="1:11" x14ac:dyDescent="0.25">
      <c r="A17" s="63"/>
      <c r="B17" s="109"/>
      <c r="C17" s="109"/>
      <c r="D17" s="109"/>
      <c r="E17" s="109"/>
      <c r="F17" s="115"/>
      <c r="G17" s="104"/>
      <c r="H17" s="104"/>
      <c r="I17" s="104"/>
      <c r="J17" s="104"/>
      <c r="K17" s="63"/>
    </row>
    <row r="18" spans="1:11" x14ac:dyDescent="0.25">
      <c r="A18" s="63"/>
      <c r="B18" s="109" t="s">
        <v>358</v>
      </c>
      <c r="C18" s="114" t="s">
        <v>359</v>
      </c>
      <c r="D18" s="109"/>
      <c r="E18" s="109"/>
      <c r="F18" s="109"/>
      <c r="G18" s="63"/>
      <c r="H18" s="63"/>
      <c r="I18" s="63"/>
      <c r="J18" s="63"/>
      <c r="K18" s="63"/>
    </row>
    <row r="19" spans="1:11" x14ac:dyDescent="0.25">
      <c r="A19" s="63"/>
      <c r="B19" s="109"/>
      <c r="C19" s="114"/>
      <c r="D19" s="109" t="s">
        <v>360</v>
      </c>
      <c r="E19" s="109"/>
      <c r="F19" s="115">
        <f>-SALDOS!D28+SALDOS!C28</f>
        <v>-70990.50351035231</v>
      </c>
      <c r="G19" s="63"/>
      <c r="H19" s="63"/>
      <c r="I19" s="63"/>
      <c r="J19" s="63"/>
      <c r="K19" s="63"/>
    </row>
    <row r="20" hidden="1" spans="1:11" x14ac:dyDescent="0.25">
      <c r="A20" s="63"/>
      <c r="B20" s="109"/>
      <c r="C20" s="109"/>
      <c r="D20" s="109" t="s">
        <v>361</v>
      </c>
      <c r="E20" s="109"/>
      <c r="F20" s="117"/>
      <c r="G20" s="104"/>
      <c r="H20" s="104"/>
      <c r="I20" s="104"/>
      <c r="J20" s="104"/>
      <c r="K20" s="63"/>
    </row>
    <row r="21" hidden="1" spans="1:11" x14ac:dyDescent="0.25">
      <c r="A21" s="63"/>
      <c r="B21" s="109"/>
      <c r="C21" s="109"/>
      <c r="D21" s="109" t="s">
        <v>361</v>
      </c>
      <c r="E21" s="109"/>
      <c r="F21" s="115">
        <f>-SALDOS!D40</f>
        <v>0</v>
      </c>
      <c r="G21" s="104"/>
      <c r="H21" s="104"/>
      <c r="I21" s="104"/>
      <c r="J21" s="104"/>
      <c r="K21" s="63"/>
    </row>
    <row r="22" hidden="1" spans="1:11" x14ac:dyDescent="0.25">
      <c r="A22" s="63"/>
      <c r="B22" s="109"/>
      <c r="C22" s="109"/>
      <c r="D22" s="109" t="s">
        <v>362</v>
      </c>
      <c r="E22" s="109"/>
      <c r="F22" s="117">
        <f>+SALDOS!C41</f>
        <v>0</v>
      </c>
      <c r="G22" s="104"/>
      <c r="H22" s="104"/>
      <c r="I22" s="104"/>
      <c r="J22" s="104"/>
      <c r="K22" s="63"/>
    </row>
    <row r="23" ht="13.8" customHeight="1" spans="1:11" x14ac:dyDescent="0.25">
      <c r="A23" s="63"/>
      <c r="B23" s="109"/>
      <c r="C23" s="109"/>
      <c r="D23" s="109"/>
      <c r="E23" s="109"/>
      <c r="F23" s="116">
        <f>SUM(F19:F22)</f>
        <v>-70990.50351035231</v>
      </c>
      <c r="G23" s="104"/>
      <c r="H23" s="104"/>
      <c r="I23" s="104"/>
      <c r="J23" s="104"/>
      <c r="K23" s="63"/>
    </row>
    <row r="24" ht="13.8" customHeight="1" spans="1:11" x14ac:dyDescent="0.25">
      <c r="A24" s="63"/>
      <c r="B24" s="109" t="s">
        <v>363</v>
      </c>
      <c r="C24" s="114" t="s">
        <v>364</v>
      </c>
      <c r="D24" s="109"/>
      <c r="E24" s="109"/>
      <c r="F24" s="109"/>
      <c r="G24" s="63"/>
      <c r="H24" s="63"/>
      <c r="I24" s="63"/>
      <c r="J24" s="104"/>
      <c r="K24" s="63"/>
    </row>
    <row r="25" spans="1:11" x14ac:dyDescent="0.25">
      <c r="A25" s="63"/>
      <c r="B25" s="109"/>
      <c r="C25" s="109"/>
      <c r="D25" s="109" t="s">
        <v>365</v>
      </c>
      <c r="E25" s="109"/>
      <c r="F25" s="115">
        <f>+SALDOS!C14+SALDOS!C16+SALDOS!C17-SALDOS!D11-SALDOS!D14-SALDOS!D16-SALDOS!D15-SALDOS!D17</f>
        <v>-2171.4587873415157</v>
      </c>
      <c r="G25" s="104"/>
      <c r="H25" s="63"/>
      <c r="I25" s="63"/>
      <c r="J25" s="104"/>
      <c r="K25" s="63"/>
    </row>
    <row r="26" ht="13.8" customHeight="1" spans="1:11" x14ac:dyDescent="0.25">
      <c r="A26" s="63"/>
      <c r="B26" s="109"/>
      <c r="C26" s="109" t="s">
        <v>269</v>
      </c>
      <c r="D26" s="109"/>
      <c r="E26" s="109"/>
      <c r="F26" s="116">
        <f>SUM(F25:F25)</f>
        <v>-2171.4587873415157</v>
      </c>
      <c r="G26" s="104"/>
      <c r="H26" s="63"/>
      <c r="I26" s="104"/>
      <c r="J26" s="104"/>
      <c r="K26" s="63"/>
    </row>
    <row r="27" ht="13.8" customHeight="1" spans="1:11" x14ac:dyDescent="0.25">
      <c r="A27" s="63"/>
      <c r="B27" s="109"/>
      <c r="C27" s="109"/>
      <c r="D27" s="109"/>
      <c r="E27" s="109"/>
      <c r="F27" s="115"/>
      <c r="G27" s="104"/>
      <c r="H27" s="63"/>
      <c r="I27" s="63"/>
      <c r="J27" s="104"/>
      <c r="K27" s="63"/>
    </row>
    <row r="28" hidden="1" spans="1:11" x14ac:dyDescent="0.25">
      <c r="A28" s="63"/>
      <c r="B28" s="109"/>
      <c r="C28" s="114" t="s">
        <v>366</v>
      </c>
      <c r="D28" s="109"/>
      <c r="E28" s="109"/>
      <c r="F28" s="109"/>
      <c r="G28" s="63"/>
      <c r="H28" s="63"/>
      <c r="I28" s="63"/>
      <c r="J28" s="104"/>
      <c r="K28" s="63"/>
    </row>
    <row r="29" hidden="1" spans="1:11" x14ac:dyDescent="0.25">
      <c r="A29" s="63"/>
      <c r="B29" s="109"/>
      <c r="C29" s="114"/>
      <c r="D29" s="109" t="s">
        <v>367</v>
      </c>
      <c r="E29" s="109"/>
      <c r="F29" s="115">
        <v>0</v>
      </c>
      <c r="G29" s="63"/>
      <c r="H29" s="63"/>
      <c r="I29" s="63"/>
      <c r="J29" s="63"/>
      <c r="K29" s="63"/>
    </row>
    <row r="30" hidden="1" spans="1:11" x14ac:dyDescent="0.25">
      <c r="A30" s="63"/>
      <c r="B30" s="109"/>
      <c r="C30" s="109"/>
      <c r="D30" s="109" t="s">
        <v>368</v>
      </c>
      <c r="E30" s="109"/>
      <c r="F30" s="115">
        <v>0</v>
      </c>
      <c r="G30" s="104"/>
      <c r="H30" s="63"/>
      <c r="I30" s="63"/>
      <c r="J30" s="63"/>
      <c r="K30" s="63"/>
    </row>
    <row r="31" hidden="1" spans="1:11" x14ac:dyDescent="0.25">
      <c r="A31" s="63"/>
      <c r="B31" s="109"/>
      <c r="C31" s="109"/>
      <c r="D31" s="109" t="s">
        <v>369</v>
      </c>
      <c r="E31" s="109"/>
      <c r="F31" s="115">
        <v>0</v>
      </c>
      <c r="G31" s="104"/>
      <c r="H31" s="63"/>
      <c r="I31" s="63"/>
      <c r="J31" s="63"/>
      <c r="K31" s="63"/>
    </row>
    <row r="32" hidden="1" spans="1:11" x14ac:dyDescent="0.25">
      <c r="A32" s="63"/>
      <c r="B32" s="109"/>
      <c r="C32" s="109"/>
      <c r="D32" s="109" t="s">
        <v>370</v>
      </c>
      <c r="E32" s="109"/>
      <c r="F32" s="115">
        <v>0</v>
      </c>
      <c r="G32" s="104"/>
      <c r="H32" s="63"/>
      <c r="I32" s="63"/>
      <c r="J32" s="63"/>
      <c r="K32" s="63"/>
    </row>
    <row r="33" hidden="1" spans="1:11" x14ac:dyDescent="0.25">
      <c r="A33" s="63"/>
      <c r="B33" s="109"/>
      <c r="C33" s="109"/>
      <c r="D33" s="109" t="s">
        <v>371</v>
      </c>
      <c r="E33" s="109"/>
      <c r="F33" s="115">
        <v>0</v>
      </c>
      <c r="G33" s="104"/>
      <c r="H33" s="63"/>
      <c r="I33" s="63"/>
      <c r="J33" s="63"/>
      <c r="K33" s="63"/>
    </row>
    <row r="34" ht="13.8" customHeight="1" hidden="1" spans="1:11" x14ac:dyDescent="0.25">
      <c r="A34" s="63"/>
      <c r="B34" s="109"/>
      <c r="C34" s="109" t="s">
        <v>269</v>
      </c>
      <c r="D34" s="109"/>
      <c r="E34" s="109"/>
      <c r="F34" s="116">
        <f>SUM(F29:F33)</f>
        <v>0</v>
      </c>
      <c r="G34" s="104"/>
      <c r="H34" s="63"/>
      <c r="I34" s="63"/>
      <c r="J34" s="104"/>
      <c r="K34" s="63"/>
    </row>
    <row r="35" spans="1:11" x14ac:dyDescent="0.25">
      <c r="A35" s="63"/>
      <c r="B35" s="109"/>
      <c r="C35" s="109"/>
      <c r="D35" s="109"/>
      <c r="E35" s="109"/>
      <c r="F35" s="115"/>
      <c r="G35" s="104"/>
      <c r="H35" s="63"/>
      <c r="I35" s="63"/>
      <c r="J35" s="63"/>
      <c r="K35" s="63"/>
    </row>
    <row r="36" spans="1:11" x14ac:dyDescent="0.25">
      <c r="A36" s="63"/>
      <c r="B36" s="109" t="s">
        <v>372</v>
      </c>
      <c r="C36" s="114" t="s">
        <v>373</v>
      </c>
      <c r="D36" s="109"/>
      <c r="E36" s="109"/>
      <c r="F36" s="109"/>
      <c r="G36" s="63"/>
      <c r="H36" s="63"/>
      <c r="I36" s="63"/>
      <c r="J36" s="63"/>
      <c r="K36" s="63"/>
    </row>
    <row r="37" hidden="1" spans="1:11" x14ac:dyDescent="0.25">
      <c r="A37" s="63"/>
      <c r="B37" s="109"/>
      <c r="C37" s="114"/>
      <c r="D37" s="109" t="s">
        <v>374</v>
      </c>
      <c r="E37" s="109"/>
      <c r="F37" s="115"/>
      <c r="G37" s="104"/>
      <c r="H37" s="63"/>
      <c r="I37" s="63"/>
      <c r="J37" s="104"/>
      <c r="K37" s="63"/>
    </row>
    <row r="38" hidden="1" spans="1:11" x14ac:dyDescent="0.25">
      <c r="A38" s="63"/>
      <c r="B38" s="109"/>
      <c r="C38" s="114"/>
      <c r="D38" s="109" t="s">
        <v>375</v>
      </c>
      <c r="E38" s="109"/>
      <c r="F38" s="115"/>
      <c r="G38" s="104"/>
      <c r="H38" s="63"/>
      <c r="I38" s="63"/>
      <c r="J38" s="104"/>
      <c r="K38" s="63"/>
    </row>
    <row r="39" hidden="1" spans="1:11" x14ac:dyDescent="0.25">
      <c r="A39" s="63"/>
      <c r="B39" s="109"/>
      <c r="C39" s="109"/>
      <c r="D39" s="109" t="s">
        <v>376</v>
      </c>
      <c r="E39" s="109"/>
      <c r="F39" s="115"/>
      <c r="G39" s="104"/>
      <c r="H39" s="63"/>
      <c r="I39" s="63"/>
      <c r="J39" s="104"/>
      <c r="K39" s="63"/>
    </row>
    <row r="40" hidden="1" spans="1:11" x14ac:dyDescent="0.25">
      <c r="A40" s="63"/>
      <c r="B40" s="109"/>
      <c r="C40" s="109"/>
      <c r="D40" s="109" t="s">
        <v>377</v>
      </c>
      <c r="E40" s="109"/>
      <c r="F40" s="115"/>
      <c r="G40" s="104"/>
      <c r="H40" s="63"/>
      <c r="I40" s="63"/>
      <c r="J40" s="104"/>
      <c r="K40" s="63"/>
    </row>
    <row r="41" spans="1:11" x14ac:dyDescent="0.25">
      <c r="A41" s="63"/>
      <c r="B41" s="109"/>
      <c r="C41" s="109"/>
      <c r="D41" s="109" t="s">
        <v>378</v>
      </c>
      <c r="E41" s="109"/>
      <c r="F41" s="115">
        <f>+SALDOS!C18-SALDOS!D18</f>
        <v>14061.316405145448</v>
      </c>
      <c r="G41" s="104"/>
      <c r="H41" s="63"/>
      <c r="I41" s="63"/>
      <c r="J41" s="104"/>
      <c r="K41" s="63"/>
    </row>
    <row r="42" hidden="1" spans="1:11" x14ac:dyDescent="0.25">
      <c r="A42" s="63"/>
      <c r="B42" s="109"/>
      <c r="C42" s="109"/>
      <c r="D42" s="109" t="s">
        <v>379</v>
      </c>
      <c r="E42" s="109"/>
      <c r="F42" s="115"/>
      <c r="G42" s="104"/>
      <c r="H42" s="63"/>
      <c r="I42" s="63"/>
      <c r="J42" s="104"/>
      <c r="K42" s="63"/>
    </row>
    <row r="43" hidden="1" spans="1:11" x14ac:dyDescent="0.25">
      <c r="A43" s="63"/>
      <c r="B43" s="109"/>
      <c r="C43" s="109"/>
      <c r="D43" s="109" t="s">
        <v>380</v>
      </c>
      <c r="E43" s="109"/>
      <c r="F43" s="115">
        <f>+SALDOS!E22</f>
        <v>0</v>
      </c>
      <c r="G43" s="104"/>
      <c r="H43" s="63"/>
      <c r="I43" s="63"/>
      <c r="J43" s="104"/>
      <c r="K43" s="63"/>
    </row>
    <row r="44" hidden="1" spans="1:11" x14ac:dyDescent="0.25">
      <c r="A44" s="63"/>
      <c r="B44" s="109"/>
      <c r="C44" s="109"/>
      <c r="D44" s="109" t="s">
        <v>381</v>
      </c>
      <c r="E44" s="109"/>
      <c r="F44" s="115">
        <f>+SALDOS!C24-SALDOS!D24</f>
        <v>0</v>
      </c>
      <c r="G44" s="104"/>
      <c r="H44" s="63"/>
      <c r="I44" s="63"/>
      <c r="J44" s="104"/>
      <c r="K44" s="63"/>
    </row>
    <row r="45" hidden="1" spans="1:11" x14ac:dyDescent="0.25">
      <c r="A45" s="63"/>
      <c r="B45" s="109"/>
      <c r="C45" s="109"/>
      <c r="D45" s="109" t="s">
        <v>382</v>
      </c>
      <c r="E45" s="109"/>
      <c r="F45" s="115"/>
      <c r="G45" s="104"/>
      <c r="H45" s="63"/>
      <c r="I45" s="63"/>
      <c r="J45" s="104"/>
      <c r="K45" s="63"/>
    </row>
    <row r="46" spans="1:11" x14ac:dyDescent="0.25">
      <c r="A46" s="63"/>
      <c r="B46" s="109"/>
      <c r="C46" s="109"/>
      <c r="D46" s="109" t="s">
        <v>383</v>
      </c>
      <c r="E46" s="109"/>
      <c r="F46" s="115">
        <f>+SALDOS!C20</f>
        <v>5457.478228925522</v>
      </c>
      <c r="G46" s="104"/>
      <c r="H46" s="63"/>
      <c r="I46" s="63"/>
      <c r="J46" s="104"/>
      <c r="K46" s="63"/>
    </row>
    <row r="47" spans="1:11" x14ac:dyDescent="0.25">
      <c r="A47" s="63"/>
      <c r="B47" s="109"/>
      <c r="C47" s="109"/>
      <c r="D47" s="109" t="s">
        <v>384</v>
      </c>
      <c r="E47" s="109"/>
      <c r="F47" s="115">
        <f>+SALDOS!C21-SALDOS!D21</f>
        <v>-170.54619465392256</v>
      </c>
      <c r="G47" s="104"/>
      <c r="H47" s="63"/>
      <c r="I47" s="63"/>
      <c r="J47" s="104"/>
      <c r="K47" s="63"/>
    </row>
    <row r="48" spans="1:11" x14ac:dyDescent="0.25">
      <c r="A48" s="63"/>
      <c r="B48" s="109"/>
      <c r="C48" s="109"/>
      <c r="D48" s="109" t="s">
        <v>385</v>
      </c>
      <c r="E48" s="109"/>
      <c r="F48" s="115">
        <f>-SALDOS!D25-SALDOS!D26-SALDOS!D27+SALDOS!C25+SALDOS!C26</f>
        <v>-28257.578919398846</v>
      </c>
      <c r="G48" s="104"/>
      <c r="H48" s="63"/>
      <c r="I48" s="63"/>
      <c r="J48" s="104"/>
      <c r="K48" s="63"/>
    </row>
    <row r="49" hidden="1" spans="1:11" x14ac:dyDescent="0.25">
      <c r="A49" s="63"/>
      <c r="B49" s="109"/>
      <c r="C49" s="109"/>
      <c r="D49" s="109" t="s">
        <v>386</v>
      </c>
      <c r="E49" s="109"/>
      <c r="F49" s="115"/>
      <c r="G49" s="104"/>
      <c r="H49" s="63"/>
      <c r="I49" s="63"/>
      <c r="J49" s="104"/>
      <c r="K49" s="63"/>
    </row>
    <row r="50" spans="1:11" x14ac:dyDescent="0.25">
      <c r="A50" s="63"/>
      <c r="B50" s="109"/>
      <c r="C50" s="109"/>
      <c r="D50" s="109" t="s">
        <v>387</v>
      </c>
      <c r="E50" s="109"/>
      <c r="F50" s="115">
        <f>-SALDOS!D23</f>
        <v>-682.1847786156902</v>
      </c>
      <c r="G50" s="104"/>
      <c r="H50" s="63"/>
      <c r="I50" s="63"/>
      <c r="J50" s="104"/>
      <c r="K50" s="63"/>
    </row>
    <row r="51" hidden="1" spans="1:11" x14ac:dyDescent="0.25">
      <c r="A51" s="63"/>
      <c r="B51" s="109"/>
      <c r="C51" s="109"/>
      <c r="D51" s="109" t="s">
        <v>388</v>
      </c>
      <c r="E51" s="109"/>
      <c r="F51" s="115"/>
      <c r="G51" s="104"/>
      <c r="H51" s="63"/>
      <c r="I51" s="63"/>
      <c r="J51" s="104"/>
      <c r="K51" s="63"/>
    </row>
    <row r="52" hidden="1" spans="1:11" x14ac:dyDescent="0.25">
      <c r="A52" s="63"/>
      <c r="B52" s="109"/>
      <c r="C52" s="109"/>
      <c r="D52" s="109" t="s">
        <v>389</v>
      </c>
      <c r="E52" s="109"/>
      <c r="F52" s="115"/>
      <c r="G52" s="104"/>
      <c r="H52" s="63"/>
      <c r="I52" s="63"/>
      <c r="J52" s="104"/>
      <c r="K52" s="63"/>
    </row>
    <row r="53" hidden="1" spans="1:11" x14ac:dyDescent="0.25">
      <c r="A53" s="63"/>
      <c r="B53" s="109"/>
      <c r="C53" s="109"/>
      <c r="D53" s="109" t="s">
        <v>390</v>
      </c>
      <c r="E53" s="109"/>
      <c r="F53" s="115"/>
      <c r="G53" s="104"/>
      <c r="H53" s="63"/>
      <c r="I53" s="104"/>
      <c r="J53" s="104"/>
      <c r="K53" s="104"/>
    </row>
    <row r="54" hidden="1" spans="1:11" x14ac:dyDescent="0.25">
      <c r="A54" s="63"/>
      <c r="B54" s="109"/>
      <c r="C54" s="109"/>
      <c r="D54" s="109" t="s">
        <v>391</v>
      </c>
      <c r="E54" s="109"/>
      <c r="F54" s="115"/>
      <c r="G54" s="104"/>
      <c r="H54" s="63"/>
      <c r="I54" s="63"/>
      <c r="J54" s="104"/>
      <c r="K54" s="63"/>
    </row>
    <row r="55" hidden="1" spans="1:11" x14ac:dyDescent="0.25">
      <c r="A55" s="63"/>
      <c r="B55" s="109"/>
      <c r="C55" s="109"/>
      <c r="D55" s="109" t="s">
        <v>392</v>
      </c>
      <c r="E55" s="109"/>
      <c r="F55" s="115"/>
      <c r="G55" s="104"/>
      <c r="H55" s="63"/>
      <c r="I55" s="63"/>
      <c r="J55" s="104"/>
      <c r="K55" s="63"/>
    </row>
    <row r="56" hidden="1" spans="1:11" x14ac:dyDescent="0.25">
      <c r="A56" s="63"/>
      <c r="B56" s="109"/>
      <c r="C56" s="109"/>
      <c r="D56" s="109" t="s">
        <v>393</v>
      </c>
      <c r="E56" s="109"/>
      <c r="F56" s="115"/>
      <c r="G56" s="104"/>
      <c r="H56" s="63"/>
      <c r="I56" s="63"/>
      <c r="J56" s="104"/>
      <c r="K56" s="63"/>
    </row>
    <row r="57" ht="13.8" customHeight="1" spans="1:11" x14ac:dyDescent="0.25">
      <c r="A57" s="63"/>
      <c r="B57" s="109"/>
      <c r="C57" s="109" t="s">
        <v>269</v>
      </c>
      <c r="D57" s="109"/>
      <c r="E57" s="109"/>
      <c r="F57" s="116">
        <f>SUM(F37:F56)</f>
        <v>-9591.51525859749</v>
      </c>
      <c r="G57" s="104"/>
      <c r="H57" s="104"/>
      <c r="I57" s="104"/>
      <c r="J57" s="104"/>
      <c r="K57" s="104"/>
    </row>
    <row r="58" ht="13.8" customHeight="1" spans="1:11" x14ac:dyDescent="0.25">
      <c r="A58" s="63"/>
      <c r="B58" s="63"/>
      <c r="C58" s="63"/>
      <c r="D58" s="63"/>
      <c r="E58" s="63"/>
      <c r="F58" s="104"/>
      <c r="G58" s="104"/>
      <c r="H58" s="63"/>
      <c r="I58" s="104"/>
      <c r="J58" s="63"/>
      <c r="K58" s="63"/>
    </row>
    <row r="59" spans="1:11" x14ac:dyDescent="0.25">
      <c r="A59" s="63"/>
      <c r="B59" s="63" t="s">
        <v>343</v>
      </c>
      <c r="C59" s="63"/>
      <c r="D59" s="63"/>
      <c r="E59" s="63"/>
      <c r="F59" s="63"/>
      <c r="G59" s="63"/>
      <c r="H59" s="63"/>
      <c r="I59" s="63"/>
      <c r="J59" s="63"/>
      <c r="K59" s="63"/>
    </row>
    <row r="60" spans="1:11" x14ac:dyDescent="0.25">
      <c r="A60" s="63"/>
      <c r="B60" s="63" t="s">
        <v>344</v>
      </c>
      <c r="C60" s="63"/>
      <c r="D60" s="63"/>
      <c r="E60" s="63"/>
      <c r="F60" s="63"/>
      <c r="G60" s="63"/>
      <c r="H60" s="63"/>
      <c r="I60" s="63"/>
      <c r="J60" s="63"/>
      <c r="K60" s="63"/>
    </row>
    <row r="61" spans="1:11" x14ac:dyDescent="0.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</row>
    <row r="62" spans="1:11" x14ac:dyDescent="0.25">
      <c r="A62" s="63"/>
      <c r="B62" s="63"/>
      <c r="C62" s="63"/>
      <c r="D62" s="63"/>
      <c r="E62" s="63"/>
      <c r="F62" s="104"/>
      <c r="G62" s="63"/>
      <c r="H62" s="63"/>
      <c r="I62" s="63"/>
      <c r="J62" s="63"/>
      <c r="K62" s="63"/>
    </row>
  </sheetData>
  <pageMargins left="0.7480314960629921" right="0.7480314960629921" top="0.984251968503937" bottom="0.984251968503937" header="0" footer="0"/>
  <pageSetup paperSize="9" orientation="portrait" horizontalDpi="4294967295" verticalDpi="4294967295" scale="92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30" zoomScaleNormal="130">
      <selection activeCell="E1" sqref="E1"/>
    </sheetView>
  </sheetViews>
  <sheetFormatPr defaultRowHeight="0" outlineLevelRow="0" outlineLevelCol="0" x14ac:dyDescent="0" customHeight="1"/>
  <cols>
    <col min="1" max="1" width="3.5546875" customWidth="1"/>
    <col min="2" max="2" width="9.109375" customWidth="1"/>
    <col min="3" max="3" width="38.33203125" customWidth="1"/>
    <col min="4" max="4" width="4" customWidth="1"/>
    <col min="5" max="5" width="12.44140625" customWidth="1"/>
    <col min="6" max="12" width="9" hidden="1" customWidth="1"/>
    <col min="13" max="257" width="9.109375" customWidth="1"/>
  </cols>
  <sheetData>
    <row r="1" spans="1:15" x14ac:dyDescent="0.25">
      <c r="A1" s="109"/>
      <c r="B1" s="109"/>
      <c r="C1" s="109"/>
      <c r="D1" s="109"/>
      <c r="E1" s="118">
        <f>+Activo!F5</f>
        <v>46234</v>
      </c>
      <c r="F1" s="118"/>
      <c r="G1" s="119" t="s">
        <v>394</v>
      </c>
      <c r="H1" s="118"/>
      <c r="I1" s="119"/>
      <c r="J1" s="119"/>
      <c r="K1" s="119" t="s">
        <v>395</v>
      </c>
      <c r="L1" s="120">
        <f>+EESP!G9</f>
        <v>0</v>
      </c>
      <c r="M1" s="109"/>
      <c r="N1" s="109"/>
      <c r="O1" s="109"/>
    </row>
    <row r="2" spans="1:15" x14ac:dyDescent="0.25">
      <c r="A2" s="113" t="s">
        <v>49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 x14ac:dyDescent="0.25">
      <c r="A3" s="113" t="s">
        <v>396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1:15" x14ac:dyDescent="0.25">
      <c r="A4" s="109" t="s">
        <v>397</v>
      </c>
      <c r="B4" s="114" t="s">
        <v>398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hidden="1" spans="1:15" x14ac:dyDescent="0.25">
      <c r="A5" s="109"/>
      <c r="B5" s="109"/>
      <c r="C5" s="109" t="s">
        <v>399</v>
      </c>
      <c r="D5" s="109"/>
      <c r="E5" s="115"/>
      <c r="F5" s="109"/>
      <c r="G5" s="109"/>
      <c r="H5" s="109"/>
      <c r="I5" s="109"/>
      <c r="J5" s="109"/>
      <c r="K5" s="109"/>
      <c r="L5" s="109"/>
      <c r="M5" s="109"/>
      <c r="N5" s="109"/>
      <c r="O5" s="109"/>
    </row>
    <row r="6" hidden="1" spans="1:15" x14ac:dyDescent="0.25">
      <c r="A6" s="109"/>
      <c r="B6" s="109"/>
      <c r="C6" s="109" t="s">
        <v>400</v>
      </c>
      <c r="D6" s="109"/>
      <c r="E6" s="115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7" hidden="1" spans="1:15" x14ac:dyDescent="0.25">
      <c r="A7" s="109"/>
      <c r="B7" s="109"/>
      <c r="C7" s="109" t="s">
        <v>401</v>
      </c>
      <c r="D7" s="109"/>
      <c r="E7" s="115"/>
      <c r="F7" s="109"/>
      <c r="G7" s="109"/>
      <c r="H7" s="109"/>
      <c r="I7" s="109"/>
      <c r="J7" s="109"/>
      <c r="K7" s="109"/>
      <c r="L7" s="109"/>
      <c r="M7" s="109"/>
      <c r="N7" s="109"/>
      <c r="O7" s="109"/>
    </row>
    <row r="8" spans="1:15" x14ac:dyDescent="0.25">
      <c r="A8" s="109"/>
      <c r="B8" s="109"/>
      <c r="C8" s="109" t="s">
        <v>402</v>
      </c>
      <c r="D8" s="109"/>
      <c r="E8" s="115">
        <f>-SALDOS!E57-SALDOS!E58-SALDOS!E63-SALDOS!E67-SALDOS!E78-SALDOS!E97-SALDOS!E102-SALDOS!E104-SALDOS!E108-0.01</f>
        <v>-13948.417524907434</v>
      </c>
      <c r="F8" s="109"/>
      <c r="G8" s="109"/>
      <c r="H8" s="109"/>
      <c r="I8" s="109"/>
      <c r="J8" s="109"/>
      <c r="K8" s="109"/>
      <c r="L8" s="109"/>
      <c r="M8" s="115"/>
      <c r="N8" s="115"/>
      <c r="O8" s="115"/>
    </row>
    <row r="9" spans="1:15" x14ac:dyDescent="0.25">
      <c r="A9" s="109"/>
      <c r="B9" s="109"/>
      <c r="C9" s="109" t="s">
        <v>356</v>
      </c>
      <c r="D9" s="109"/>
      <c r="E9" s="115">
        <f>-SALDOS!E12-SALDOS!E90</f>
        <v>311549.7842420091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</row>
    <row r="10" hidden="1" spans="1:15" x14ac:dyDescent="0.25">
      <c r="A10" s="109"/>
      <c r="B10" s="109"/>
      <c r="C10" s="109" t="s">
        <v>403</v>
      </c>
      <c r="D10" s="109"/>
      <c r="E10" s="115"/>
      <c r="F10" s="109"/>
      <c r="G10" s="109"/>
      <c r="H10" s="109"/>
      <c r="I10" s="109"/>
      <c r="J10" s="109"/>
      <c r="K10" s="109"/>
      <c r="L10" s="109"/>
      <c r="M10" s="109"/>
      <c r="N10" s="109"/>
      <c r="O10" s="109"/>
    </row>
    <row r="11" hidden="1" spans="1:15" x14ac:dyDescent="0.25">
      <c r="A11" s="109"/>
      <c r="B11" s="109"/>
      <c r="C11" s="109" t="s">
        <v>404</v>
      </c>
      <c r="D11" s="109"/>
      <c r="E11" s="115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2" hidden="1" spans="1:15" x14ac:dyDescent="0.25">
      <c r="A12" s="109"/>
      <c r="B12" s="109"/>
      <c r="C12" s="109" t="s">
        <v>405</v>
      </c>
      <c r="D12" s="109"/>
      <c r="E12" s="115"/>
      <c r="F12" s="109"/>
      <c r="G12" s="109"/>
      <c r="H12" s="109"/>
      <c r="I12" s="109"/>
      <c r="J12" s="109"/>
      <c r="K12" s="109"/>
      <c r="L12" s="109"/>
      <c r="M12" s="109"/>
      <c r="N12" s="109"/>
      <c r="O12" s="109"/>
    </row>
    <row r="13" hidden="1" spans="1:15" x14ac:dyDescent="0.25">
      <c r="A13" s="109"/>
      <c r="B13" s="109"/>
      <c r="C13" s="109" t="s">
        <v>406</v>
      </c>
      <c r="D13" s="109"/>
      <c r="E13" s="115"/>
      <c r="F13" s="109"/>
      <c r="G13" s="109"/>
      <c r="H13" s="109"/>
      <c r="I13" s="109"/>
      <c r="J13" s="109"/>
      <c r="K13" s="109"/>
      <c r="L13" s="109"/>
      <c r="M13" s="109"/>
      <c r="N13" s="109"/>
      <c r="O13" s="109"/>
    </row>
    <row r="14" hidden="1" spans="1:15" x14ac:dyDescent="0.25">
      <c r="A14" s="109"/>
      <c r="B14" s="109"/>
      <c r="C14" s="109" t="s">
        <v>407</v>
      </c>
      <c r="D14" s="109"/>
      <c r="E14" s="115"/>
      <c r="F14" s="109"/>
      <c r="G14" s="109"/>
      <c r="H14" s="109"/>
      <c r="I14" s="109"/>
      <c r="J14" s="109"/>
      <c r="K14" s="109"/>
      <c r="L14" s="109"/>
      <c r="M14" s="109"/>
      <c r="N14" s="109"/>
      <c r="O14" s="109"/>
    </row>
    <row r="15" hidden="1" spans="1:15" x14ac:dyDescent="0.25">
      <c r="A15" s="109"/>
      <c r="B15" s="109"/>
      <c r="C15" s="109" t="s">
        <v>408</v>
      </c>
      <c r="D15" s="109"/>
      <c r="E15" s="115"/>
      <c r="F15" s="109"/>
      <c r="G15" s="109"/>
      <c r="H15" s="109"/>
      <c r="I15" s="109"/>
      <c r="J15" s="109"/>
      <c r="K15" s="109"/>
      <c r="L15" s="109"/>
      <c r="M15" s="109"/>
      <c r="N15" s="109"/>
      <c r="O15" s="109"/>
    </row>
    <row r="16" ht="10.8" customHeight="1" spans="1:15" x14ac:dyDescent="0.25">
      <c r="A16" s="109"/>
      <c r="B16" s="109"/>
      <c r="C16" s="109"/>
      <c r="D16" s="109"/>
      <c r="E16" s="116">
        <f>SUM(E5:E15)</f>
        <v>297601.36671710166</v>
      </c>
      <c r="F16" s="109"/>
      <c r="G16" s="109"/>
      <c r="H16" s="109"/>
      <c r="I16" s="109"/>
      <c r="J16" s="109"/>
      <c r="K16" s="109"/>
      <c r="L16" s="109"/>
      <c r="M16" s="115"/>
      <c r="N16" s="115"/>
      <c r="O16" s="115"/>
    </row>
    <row r="17" ht="10.8" customHeight="1" spans="1:15" x14ac:dyDescent="0.25">
      <c r="A17" s="113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hidden="1" spans="1:15" x14ac:dyDescent="0.25">
      <c r="A18" s="109" t="s">
        <v>409</v>
      </c>
      <c r="B18" s="114" t="s">
        <v>410</v>
      </c>
      <c r="C18" s="114"/>
      <c r="D18" s="109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</row>
    <row r="19" hidden="1" spans="1:15" x14ac:dyDescent="0.25">
      <c r="A19" s="113"/>
      <c r="B19" s="109"/>
      <c r="C19" s="109" t="s">
        <v>411</v>
      </c>
      <c r="D19" s="109"/>
      <c r="E19" s="115">
        <f>-SALDOS!C91</f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</row>
    <row r="20" hidden="1" spans="1:15" x14ac:dyDescent="0.25">
      <c r="A20" s="113"/>
      <c r="B20" s="109"/>
      <c r="C20" s="109" t="s">
        <v>412</v>
      </c>
      <c r="D20" s="109"/>
      <c r="E20" s="115">
        <f>-SALDOS!C19</f>
        <v>0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hidden="1" spans="1:15" x14ac:dyDescent="0.25">
      <c r="A21" s="113"/>
      <c r="B21" s="109"/>
      <c r="C21" s="109" t="s">
        <v>384</v>
      </c>
      <c r="D21" s="109"/>
      <c r="E21" s="115"/>
      <c r="F21" s="109"/>
      <c r="G21" s="109"/>
      <c r="H21" s="109"/>
      <c r="I21" s="109"/>
      <c r="J21" s="109"/>
      <c r="K21" s="109"/>
      <c r="L21" s="109"/>
      <c r="M21" s="109"/>
      <c r="N21" s="109"/>
      <c r="O21" s="109"/>
    </row>
    <row r="22" ht="10.8" customHeight="1" hidden="1" spans="1:15" x14ac:dyDescent="0.25">
      <c r="A22" s="113"/>
      <c r="B22" s="109"/>
      <c r="C22" s="109"/>
      <c r="D22" s="109"/>
      <c r="E22" s="116">
        <f>+SUM(E19:E21)</f>
        <v>0</v>
      </c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  <row r="23" ht="10.8" customHeight="1" spans="1:15" x14ac:dyDescent="0.25">
      <c r="A23" s="113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x14ac:dyDescent="0.25">
      <c r="A24" s="113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x14ac:dyDescent="0.25">
      <c r="A25" s="109" t="s">
        <v>409</v>
      </c>
      <c r="B25" s="114" t="s">
        <v>413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x14ac:dyDescent="0.25">
      <c r="A26" s="109"/>
      <c r="B26" s="114"/>
      <c r="C26" s="109" t="s">
        <v>414</v>
      </c>
      <c r="D26" s="109"/>
      <c r="E26" s="115">
        <f>-SALDOS!E83</f>
        <v>-20201.505581806403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x14ac:dyDescent="0.25">
      <c r="A27" s="113"/>
      <c r="B27" s="109"/>
      <c r="C27" s="109" t="s">
        <v>415</v>
      </c>
      <c r="D27" s="109"/>
      <c r="E27" s="115">
        <f>-SALDOS!E82</f>
        <v>-109231.90769221324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ht="10.8" customHeight="1" spans="1:15" x14ac:dyDescent="0.25">
      <c r="A28" s="113"/>
      <c r="B28" s="109"/>
      <c r="C28" s="109"/>
      <c r="D28" s="109"/>
      <c r="E28" s="116">
        <f>SUM(E26:E27)</f>
        <v>-129433.41327401964</v>
      </c>
      <c r="F28" s="109"/>
      <c r="G28" s="109"/>
      <c r="H28" s="109"/>
      <c r="I28" s="109"/>
      <c r="J28" s="109"/>
      <c r="K28" s="109"/>
      <c r="L28" s="109"/>
      <c r="M28" s="109"/>
      <c r="N28" s="109"/>
      <c r="O28" s="109"/>
    </row>
    <row r="29" ht="10.8" customHeight="1" spans="1:15" x14ac:dyDescent="0.25">
      <c r="A29" s="11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</row>
    <row r="30" spans="1:15" x14ac:dyDescent="0.25">
      <c r="A30" s="113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</row>
    <row r="31" spans="1:15" x14ac:dyDescent="0.25">
      <c r="A31" s="109" t="s">
        <v>416</v>
      </c>
      <c r="B31" s="114" t="s">
        <v>417</v>
      </c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</row>
    <row r="32" spans="1:15" x14ac:dyDescent="0.25">
      <c r="A32" s="109"/>
      <c r="B32" s="114"/>
      <c r="C32" s="109" t="s">
        <v>418</v>
      </c>
      <c r="D32" s="109"/>
      <c r="E32" s="115">
        <f>-SALDOS!E85</f>
        <v>-286.43025325768815</v>
      </c>
      <c r="F32" s="109"/>
      <c r="G32" s="109"/>
      <c r="H32" s="109"/>
      <c r="I32" s="109"/>
      <c r="J32" s="109"/>
      <c r="K32" s="109"/>
      <c r="L32" s="109"/>
      <c r="M32" s="109"/>
      <c r="N32" s="109"/>
      <c r="O32" s="109"/>
    </row>
    <row r="33" spans="1:15" x14ac:dyDescent="0.25">
      <c r="A33" s="109"/>
      <c r="B33" s="114"/>
      <c r="C33" s="109" t="s">
        <v>419</v>
      </c>
      <c r="D33" s="109"/>
      <c r="E33" s="115">
        <f>-SALDOS!E86</f>
        <v>55.880722720198165</v>
      </c>
      <c r="F33" s="109"/>
      <c r="G33" s="109"/>
      <c r="H33" s="109"/>
      <c r="I33" s="109"/>
      <c r="J33" s="109"/>
      <c r="K33" s="109"/>
      <c r="L33" s="109"/>
      <c r="M33" s="109"/>
      <c r="N33" s="109"/>
      <c r="O33" s="109"/>
    </row>
    <row r="34" spans="1:15" x14ac:dyDescent="0.25">
      <c r="A34" s="109"/>
      <c r="B34" s="114"/>
      <c r="C34" s="109" t="s">
        <v>420</v>
      </c>
      <c r="D34" s="109"/>
      <c r="E34" s="115">
        <f>-SALDOS!E84</f>
        <v>876.1790625894301</v>
      </c>
      <c r="F34" s="115"/>
      <c r="G34" s="115">
        <v>70</v>
      </c>
      <c r="H34" s="115"/>
      <c r="I34" s="115"/>
      <c r="J34" s="115"/>
      <c r="K34" s="121">
        <v>0</v>
      </c>
      <c r="L34" s="109"/>
      <c r="M34" s="109"/>
      <c r="N34" s="109"/>
      <c r="O34" s="109"/>
    </row>
    <row r="35" ht="10.8" customHeight="1" spans="1:15" x14ac:dyDescent="0.25">
      <c r="A35" s="109"/>
      <c r="B35" s="109" t="s">
        <v>269</v>
      </c>
      <c r="C35" s="109"/>
      <c r="D35" s="109"/>
      <c r="E35" s="116">
        <f>SUM(E32:E34)</f>
        <v>645.6295320519401</v>
      </c>
      <c r="F35" s="115"/>
      <c r="G35" s="116">
        <f>SUM(G34:G34)</f>
        <v>70</v>
      </c>
      <c r="H35" s="115"/>
      <c r="I35" s="115"/>
      <c r="J35" s="115"/>
      <c r="K35" s="116" t="e">
        <f>SUM(#REF!)</f>
        <v>#REF!</v>
      </c>
      <c r="L35" s="115"/>
      <c r="M35" s="109"/>
      <c r="N35" s="115"/>
      <c r="O35" s="109"/>
    </row>
    <row r="36" ht="10.8" customHeight="1" spans="1:15" x14ac:dyDescent="0.25">
      <c r="A36" s="109"/>
      <c r="B36" s="109"/>
      <c r="C36" s="109"/>
      <c r="D36" s="109"/>
      <c r="E36" s="115"/>
      <c r="F36" s="115"/>
      <c r="G36" s="115"/>
      <c r="H36" s="115"/>
      <c r="I36" s="115"/>
      <c r="J36" s="115"/>
      <c r="K36" s="115"/>
      <c r="L36" s="109"/>
      <c r="M36" s="115"/>
      <c r="N36" s="109"/>
      <c r="O36" s="109"/>
    </row>
    <row r="37" spans="1:15" x14ac:dyDescent="0.25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15"/>
      <c r="M37" s="115"/>
      <c r="N37" s="109"/>
      <c r="O37" s="109"/>
    </row>
    <row r="38" spans="1:15" x14ac:dyDescent="0.2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15"/>
      <c r="M38" s="115"/>
      <c r="N38" s="109"/>
      <c r="O38" s="109"/>
    </row>
    <row r="39" spans="1:15" x14ac:dyDescent="0.25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15"/>
      <c r="M39" s="115"/>
      <c r="N39" s="109"/>
      <c r="O39" s="109"/>
    </row>
    <row r="40" spans="1:15" x14ac:dyDescent="0.25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</row>
    <row r="41" spans="1:15" x14ac:dyDescent="0.25">
      <c r="A41" s="109"/>
      <c r="B41" s="109"/>
      <c r="C41" s="109"/>
      <c r="D41" s="109"/>
      <c r="E41" s="115"/>
      <c r="F41" s="109"/>
      <c r="G41" s="109"/>
      <c r="H41" s="109"/>
      <c r="I41" s="109"/>
      <c r="J41" s="109"/>
      <c r="K41" s="109"/>
      <c r="L41" s="109"/>
      <c r="M41" s="109"/>
      <c r="N41" s="109"/>
      <c r="O41" s="109"/>
    </row>
    <row r="42" spans="1:15" x14ac:dyDescent="0.25">
      <c r="A42" s="109"/>
      <c r="B42" s="109"/>
      <c r="C42" s="109"/>
      <c r="D42" s="109"/>
      <c r="E42" s="115"/>
      <c r="F42" s="109"/>
      <c r="G42" s="109"/>
      <c r="H42" s="109"/>
      <c r="I42" s="109"/>
      <c r="J42" s="109"/>
      <c r="K42" s="109"/>
      <c r="L42" s="109"/>
      <c r="M42" s="109"/>
      <c r="N42" s="109"/>
      <c r="O42" s="109"/>
    </row>
    <row r="43" spans="1:15" x14ac:dyDescent="0.2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</row>
    <row r="44" spans="1:15" x14ac:dyDescent="0.2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</row>
    <row r="45" spans="1:15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</row>
  </sheetData>
  <pageMargins left="0.75" right="0.75" top="1" bottom="1" header="0" footer="0"/>
  <pageSetup paperSize="9" orientation="portrait" horizontalDpi="4294967295" verticalDpi="599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 zoomScale="115" zoomScaleNormal="115">
      <selection activeCell="K18" sqref="K18"/>
    </sheetView>
  </sheetViews>
  <sheetFormatPr defaultRowHeight="0" outlineLevelRow="0" outlineLevelCol="0" x14ac:dyDescent="0" customHeight="1"/>
  <cols>
    <col min="1" max="1" width="15.109375" customWidth="1"/>
    <col min="2" max="2" width="16.33203125" customWidth="1"/>
    <col min="3" max="3" width="12" customWidth="1"/>
    <col min="4" max="4" width="14.109375" hidden="1" customWidth="1"/>
    <col min="5" max="5" width="12.88671875" customWidth="1"/>
    <col min="6" max="6" width="12.44140625" customWidth="1"/>
    <col min="7" max="7" width="10.5546875" hidden="1" customWidth="1"/>
    <col min="8" max="8" width="12" customWidth="1"/>
    <col min="9" max="9" width="11.109375" customWidth="1"/>
    <col min="10" max="10" width="12.88671875" customWidth="1"/>
    <col min="11" max="11" width="12.5546875" customWidth="1"/>
    <col min="12" max="257" width="18.109375" customWidth="1"/>
  </cols>
  <sheetData>
    <row r="1" ht="10.8" customHeight="1" spans="1:14" x14ac:dyDescent="0.25">
      <c r="A1" s="122" t="s">
        <v>421</v>
      </c>
      <c r="B1" s="123"/>
      <c r="C1" s="124"/>
      <c r="D1" s="124"/>
      <c r="E1" s="123"/>
      <c r="F1" s="123"/>
      <c r="G1" s="123"/>
      <c r="H1" s="123"/>
      <c r="I1" s="123"/>
      <c r="J1" s="123"/>
      <c r="K1" s="125"/>
      <c r="L1" s="109"/>
      <c r="M1" s="109"/>
      <c r="N1" s="109"/>
    </row>
    <row r="2" spans="1:14" x14ac:dyDescent="0.25">
      <c r="A2" s="126" t="str">
        <f>+EESP!A3</f>
        <v>31 de Julio de 2026</v>
      </c>
      <c r="B2" s="127"/>
      <c r="C2" s="127"/>
      <c r="D2" s="127"/>
      <c r="E2" s="127"/>
      <c r="F2" s="127"/>
      <c r="G2" s="127"/>
      <c r="H2" s="127"/>
      <c r="I2" s="127"/>
      <c r="J2" s="127"/>
      <c r="K2" s="128"/>
      <c r="L2" s="109"/>
      <c r="M2" s="109"/>
      <c r="N2" s="109"/>
    </row>
    <row r="3" spans="1:14" x14ac:dyDescent="0.25">
      <c r="A3" s="129" t="s">
        <v>269</v>
      </c>
      <c r="B3" s="109"/>
      <c r="C3" s="130"/>
      <c r="D3" s="130"/>
      <c r="E3" s="109"/>
      <c r="F3" s="109"/>
      <c r="G3" s="109"/>
      <c r="H3" s="109"/>
      <c r="I3" s="109"/>
      <c r="J3" s="109"/>
      <c r="K3" s="131"/>
      <c r="L3" s="109"/>
      <c r="M3" s="109"/>
      <c r="N3" s="109"/>
    </row>
    <row r="4" spans="1:14" x14ac:dyDescent="0.25">
      <c r="A4" s="132" t="s">
        <v>269</v>
      </c>
      <c r="B4" s="133"/>
      <c r="C4" s="134"/>
      <c r="D4" s="134"/>
      <c r="E4" s="133"/>
      <c r="F4" s="133"/>
      <c r="G4" s="133"/>
      <c r="H4" s="133"/>
      <c r="I4" s="133"/>
      <c r="J4" s="133"/>
      <c r="K4" s="135"/>
      <c r="L4" s="109"/>
      <c r="M4" s="109"/>
      <c r="N4" s="109"/>
    </row>
    <row r="5" spans="1:14" x14ac:dyDescent="0.25">
      <c r="A5" s="136" t="s">
        <v>269</v>
      </c>
      <c r="B5" s="137" t="s">
        <v>422</v>
      </c>
      <c r="C5" s="138"/>
      <c r="D5" s="138"/>
      <c r="E5" s="137"/>
      <c r="F5" s="139" t="s">
        <v>423</v>
      </c>
      <c r="G5" s="140"/>
      <c r="H5" s="140"/>
      <c r="I5" s="140"/>
      <c r="J5" s="141"/>
      <c r="K5" s="142"/>
      <c r="L5" s="109"/>
      <c r="M5" s="109"/>
      <c r="N5" s="109"/>
    </row>
    <row r="6" spans="1:14" x14ac:dyDescent="0.25">
      <c r="A6" s="143"/>
      <c r="B6" s="144" t="s">
        <v>424</v>
      </c>
      <c r="C6" s="145"/>
      <c r="D6" s="145"/>
      <c r="E6" s="144" t="s">
        <v>424</v>
      </c>
      <c r="F6" s="144" t="s">
        <v>425</v>
      </c>
      <c r="G6" s="144"/>
      <c r="H6" s="144" t="s">
        <v>426</v>
      </c>
      <c r="I6" s="144"/>
      <c r="J6" s="144" t="s">
        <v>427</v>
      </c>
      <c r="K6" s="146" t="s">
        <v>428</v>
      </c>
      <c r="L6" s="109"/>
      <c r="M6" s="109"/>
      <c r="N6" s="109"/>
    </row>
    <row r="7" spans="1:14" x14ac:dyDescent="0.25">
      <c r="A7" s="147" t="s">
        <v>317</v>
      </c>
      <c r="B7" s="144" t="s">
        <v>429</v>
      </c>
      <c r="C7" s="145" t="s">
        <v>430</v>
      </c>
      <c r="D7" s="145" t="s">
        <v>431</v>
      </c>
      <c r="E7" s="144" t="s">
        <v>432</v>
      </c>
      <c r="F7" s="144" t="s">
        <v>433</v>
      </c>
      <c r="G7" s="144" t="s">
        <v>434</v>
      </c>
      <c r="H7" s="144" t="s">
        <v>435</v>
      </c>
      <c r="I7" s="144" t="s">
        <v>436</v>
      </c>
      <c r="J7" s="144" t="s">
        <v>437</v>
      </c>
      <c r="K7" s="146" t="s">
        <v>438</v>
      </c>
      <c r="L7" s="109"/>
      <c r="M7" s="109"/>
      <c r="N7" s="109"/>
    </row>
    <row r="8" spans="1:14" x14ac:dyDescent="0.25">
      <c r="A8" s="143"/>
      <c r="B8" s="144" t="s">
        <v>439</v>
      </c>
      <c r="C8" s="145"/>
      <c r="D8" s="145"/>
      <c r="E8" s="144" t="s">
        <v>439</v>
      </c>
      <c r="F8" s="144" t="s">
        <v>439</v>
      </c>
      <c r="G8" s="144"/>
      <c r="H8" s="144"/>
      <c r="I8" s="144"/>
      <c r="J8" s="144" t="s">
        <v>439</v>
      </c>
      <c r="K8" s="148">
        <f>+EESP!F9</f>
        <v>46234</v>
      </c>
      <c r="L8" s="109"/>
      <c r="M8" s="109"/>
      <c r="N8" s="109"/>
    </row>
    <row r="9" spans="1:14" x14ac:dyDescent="0.25">
      <c r="A9" s="143"/>
      <c r="B9" s="144" t="s">
        <v>336</v>
      </c>
      <c r="C9" s="145" t="s">
        <v>336</v>
      </c>
      <c r="D9" s="145" t="s">
        <v>336</v>
      </c>
      <c r="E9" s="144" t="s">
        <v>336</v>
      </c>
      <c r="F9" s="144" t="s">
        <v>336</v>
      </c>
      <c r="G9" s="144" t="s">
        <v>336</v>
      </c>
      <c r="H9" s="144"/>
      <c r="I9" s="144" t="s">
        <v>336</v>
      </c>
      <c r="J9" s="144" t="s">
        <v>336</v>
      </c>
      <c r="K9" s="146" t="s">
        <v>336</v>
      </c>
      <c r="L9" s="109"/>
      <c r="M9" s="109"/>
      <c r="N9" s="109"/>
    </row>
    <row r="10" spans="1:14" x14ac:dyDescent="0.25">
      <c r="A10" s="149"/>
      <c r="B10" s="150"/>
      <c r="C10" s="151"/>
      <c r="D10" s="151"/>
      <c r="E10" s="150"/>
      <c r="F10" s="150"/>
      <c r="G10" s="150"/>
      <c r="H10" s="150"/>
      <c r="I10" s="150"/>
      <c r="J10" s="150"/>
      <c r="K10" s="152"/>
      <c r="L10" s="109"/>
      <c r="M10" s="109"/>
      <c r="N10" s="109"/>
    </row>
    <row r="11" spans="1:14" x14ac:dyDescent="0.25">
      <c r="A11" s="143" t="s">
        <v>440</v>
      </c>
      <c r="B11" s="153">
        <v>0</v>
      </c>
      <c r="C11" s="154">
        <v>0</v>
      </c>
      <c r="D11" s="155"/>
      <c r="E11" s="154">
        <v>0</v>
      </c>
      <c r="F11" s="154">
        <v>0</v>
      </c>
      <c r="G11" s="156"/>
      <c r="H11" s="157">
        <v>0.2</v>
      </c>
      <c r="I11" s="154">
        <v>0</v>
      </c>
      <c r="J11" s="153">
        <f>+I11</f>
        <v>0</v>
      </c>
      <c r="K11" s="158">
        <f>+E11-J11</f>
        <v>0</v>
      </c>
      <c r="L11" s="109"/>
      <c r="M11" s="109"/>
      <c r="N11" s="109"/>
    </row>
    <row r="12" spans="1:14" x14ac:dyDescent="0.25">
      <c r="A12" s="143" t="s">
        <v>441</v>
      </c>
      <c r="B12" s="153">
        <v>0</v>
      </c>
      <c r="C12" s="154">
        <v>0</v>
      </c>
      <c r="D12" s="155"/>
      <c r="E12" s="153">
        <v>0</v>
      </c>
      <c r="F12" s="154">
        <v>0</v>
      </c>
      <c r="G12" s="156"/>
      <c r="H12" s="157">
        <v>0.2</v>
      </c>
      <c r="I12" s="154">
        <v>0</v>
      </c>
      <c r="J12" s="153">
        <f>+I12</f>
        <v>0</v>
      </c>
      <c r="K12" s="158">
        <f>+E12-J12</f>
        <v>0</v>
      </c>
      <c r="L12" s="109"/>
      <c r="M12" s="109"/>
      <c r="N12" s="109"/>
    </row>
    <row r="13" spans="1:14" x14ac:dyDescent="0.25">
      <c r="A13" s="143" t="s">
        <v>442</v>
      </c>
      <c r="B13" s="153">
        <v>0</v>
      </c>
      <c r="C13" s="154">
        <v>0</v>
      </c>
      <c r="D13" s="155"/>
      <c r="E13" s="153">
        <v>0</v>
      </c>
      <c r="F13" s="154">
        <v>0</v>
      </c>
      <c r="G13" s="156"/>
      <c r="H13" s="157">
        <v>0.2</v>
      </c>
      <c r="I13" s="155">
        <f>-SALDOS!E47</f>
        <v>293.35548614704425</v>
      </c>
      <c r="J13" s="153">
        <f>+I13</f>
        <v>293.35548614704425</v>
      </c>
      <c r="K13" s="158">
        <f>+E13-J13</f>
        <v>-293.35548614704425</v>
      </c>
      <c r="L13" s="115"/>
      <c r="M13" s="109"/>
      <c r="N13" s="115"/>
    </row>
    <row r="14" spans="1:14" x14ac:dyDescent="0.25">
      <c r="A14" s="143" t="s">
        <v>443</v>
      </c>
      <c r="B14" s="153">
        <v>0</v>
      </c>
      <c r="C14" s="154">
        <v>0</v>
      </c>
      <c r="D14" s="155">
        <v>0</v>
      </c>
      <c r="E14" s="153">
        <v>0</v>
      </c>
      <c r="F14" s="154">
        <v>0</v>
      </c>
      <c r="G14" s="156"/>
      <c r="H14" s="157">
        <v>0.2</v>
      </c>
      <c r="I14" s="154">
        <v>0</v>
      </c>
      <c r="J14" s="153">
        <f>+I14</f>
        <v>0</v>
      </c>
      <c r="K14" s="158">
        <f>+E14-J14</f>
        <v>0</v>
      </c>
      <c r="L14" s="109"/>
      <c r="M14" s="109"/>
      <c r="N14" s="109"/>
    </row>
    <row r="15" spans="1:14" x14ac:dyDescent="0.25">
      <c r="A15" s="143" t="s">
        <v>444</v>
      </c>
      <c r="B15" s="153">
        <v>0</v>
      </c>
      <c r="C15" s="154">
        <v>0</v>
      </c>
      <c r="D15" s="155"/>
      <c r="E15" s="153">
        <v>0</v>
      </c>
      <c r="F15" s="154">
        <v>0</v>
      </c>
      <c r="G15" s="156"/>
      <c r="H15" s="157">
        <v>0.1</v>
      </c>
      <c r="I15" s="155">
        <f>-SALDOS!E42</f>
        <v>12.632834167361073</v>
      </c>
      <c r="J15" s="153">
        <f>+I15</f>
        <v>12.632834167361073</v>
      </c>
      <c r="K15" s="158">
        <f>+E15-J15</f>
        <v>-12.632834167361073</v>
      </c>
      <c r="L15" s="109"/>
      <c r="M15" s="109"/>
      <c r="N15" s="109"/>
    </row>
    <row r="16" spans="1:14" x14ac:dyDescent="0.25">
      <c r="A16" s="143" t="s">
        <v>445</v>
      </c>
      <c r="B16" s="153">
        <v>0</v>
      </c>
      <c r="C16" s="154">
        <v>0</v>
      </c>
      <c r="D16" s="155"/>
      <c r="E16" s="153">
        <v>0</v>
      </c>
      <c r="F16" s="154">
        <v>0</v>
      </c>
      <c r="G16" s="153"/>
      <c r="H16" s="157">
        <v>0.1</v>
      </c>
      <c r="I16" s="154">
        <v>0</v>
      </c>
      <c r="J16" s="153">
        <f>+I16</f>
        <v>0</v>
      </c>
      <c r="K16" s="158">
        <f>+E16-J16</f>
        <v>0</v>
      </c>
      <c r="L16" s="109"/>
      <c r="M16" s="109"/>
      <c r="N16" s="109"/>
    </row>
    <row r="17" spans="1:14" x14ac:dyDescent="0.25">
      <c r="A17" s="149" t="s">
        <v>446</v>
      </c>
      <c r="B17" s="159">
        <v>0</v>
      </c>
      <c r="C17" s="160">
        <v>0</v>
      </c>
      <c r="D17" s="155" t="e">
        <f>+#REF!</f>
        <v>#REF!</v>
      </c>
      <c r="E17" s="153">
        <v>0</v>
      </c>
      <c r="F17" s="154">
        <v>0</v>
      </c>
      <c r="G17" s="161">
        <v>0</v>
      </c>
      <c r="H17" s="162">
        <v>0.2</v>
      </c>
      <c r="I17" s="151">
        <f>-SALDOS!E48</f>
        <v>8171.175100801328</v>
      </c>
      <c r="J17" s="161">
        <f>+I17</f>
        <v>8171.175100801328</v>
      </c>
      <c r="K17" s="163">
        <f>+E17-J17</f>
        <v>-8171.175100801328</v>
      </c>
      <c r="L17" s="115"/>
      <c r="M17" s="109"/>
      <c r="N17" s="109"/>
    </row>
    <row r="18" ht="10.8" customHeight="1" spans="1:14" x14ac:dyDescent="0.25">
      <c r="A18" s="164" t="str">
        <f>+EEPN!B18</f>
        <v>Total al  31/7/26</v>
      </c>
      <c r="B18" s="165">
        <f>SUM(B11:B17)</f>
        <v>0</v>
      </c>
      <c r="C18" s="166">
        <f>SUM(C11:C17)</f>
        <v>0</v>
      </c>
      <c r="D18" s="167" t="e">
        <f>SUM(D11:D17)</f>
        <v>#REF!</v>
      </c>
      <c r="E18" s="165">
        <f>SUM(E11:E17)</f>
        <v>0</v>
      </c>
      <c r="F18" s="165">
        <f>SUM(F11:F17)</f>
        <v>0</v>
      </c>
      <c r="G18" s="168">
        <f>SUM(G17)</f>
        <v>0</v>
      </c>
      <c r="H18" s="168"/>
      <c r="I18" s="168">
        <f>SUM(I11:I17)</f>
        <v>8477.163421115732</v>
      </c>
      <c r="J18" s="168">
        <f>SUM(J11:J17)</f>
        <v>8477.163421115732</v>
      </c>
      <c r="K18" s="169">
        <f>SUM(K11:K17)</f>
        <v>-8477.163421115732</v>
      </c>
      <c r="L18" s="115"/>
      <c r="M18" s="109"/>
      <c r="N18" s="109"/>
    </row>
    <row r="19" ht="10.8" customHeight="1" spans="1:14" x14ac:dyDescent="0.25">
      <c r="A19" s="109"/>
      <c r="B19" s="109"/>
      <c r="C19" s="130"/>
      <c r="D19" s="130"/>
      <c r="E19" s="109"/>
      <c r="F19" s="109"/>
      <c r="G19" s="109"/>
      <c r="H19" s="109"/>
      <c r="I19" s="115"/>
      <c r="J19" s="109"/>
      <c r="K19" s="115"/>
      <c r="L19" s="115"/>
      <c r="M19" s="109"/>
      <c r="N19" s="109"/>
    </row>
    <row r="20" spans="1:14" x14ac:dyDescent="0.25">
      <c r="A20" s="109"/>
      <c r="B20" s="109"/>
      <c r="C20" s="130"/>
      <c r="D20" s="130"/>
      <c r="E20" s="115"/>
      <c r="F20" s="109"/>
      <c r="G20" s="109"/>
      <c r="H20" s="109"/>
      <c r="I20" s="115"/>
      <c r="J20" s="170"/>
      <c r="K20" s="115"/>
      <c r="L20" s="109"/>
      <c r="M20" s="109"/>
      <c r="N20" s="109"/>
    </row>
    <row r="21" spans="1:14" x14ac:dyDescent="0.25">
      <c r="A21" s="109" t="s">
        <v>343</v>
      </c>
      <c r="B21" s="109"/>
      <c r="C21" s="130"/>
      <c r="D21" s="130"/>
      <c r="E21" s="115"/>
      <c r="F21" s="109"/>
      <c r="G21" s="115"/>
      <c r="H21" s="109"/>
      <c r="I21" s="115"/>
      <c r="J21" s="109"/>
      <c r="K21" s="109"/>
      <c r="L21" s="109"/>
      <c r="M21" s="109"/>
      <c r="N21" s="109"/>
    </row>
    <row r="22" spans="1:14" x14ac:dyDescent="0.25">
      <c r="A22" s="109" t="s">
        <v>344</v>
      </c>
      <c r="B22" s="109"/>
      <c r="C22" s="130"/>
      <c r="D22" s="130"/>
      <c r="E22" s="109" t="s">
        <v>269</v>
      </c>
      <c r="F22" s="109"/>
      <c r="G22" s="109"/>
      <c r="H22" s="109"/>
      <c r="I22" s="170"/>
      <c r="J22" s="115"/>
      <c r="K22" s="109"/>
      <c r="L22" s="109"/>
      <c r="M22" s="109"/>
      <c r="N22" s="109"/>
    </row>
    <row r="23" spans="1:14" x14ac:dyDescent="0.25">
      <c r="A23" s="109"/>
      <c r="B23" s="109"/>
      <c r="C23" s="130"/>
      <c r="D23" s="130"/>
      <c r="E23" s="109"/>
      <c r="F23" s="109"/>
      <c r="G23" s="109"/>
      <c r="H23" s="115"/>
      <c r="I23" s="109"/>
      <c r="J23" s="109"/>
      <c r="K23" s="109"/>
      <c r="L23" s="109"/>
      <c r="M23" s="109"/>
      <c r="N23" s="109"/>
    </row>
    <row r="24" spans="1:14" x14ac:dyDescent="0.25">
      <c r="A24" s="109"/>
      <c r="B24" s="109"/>
      <c r="C24" s="130"/>
      <c r="D24" s="130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x14ac:dyDescent="0.25">
      <c r="A25" s="109"/>
      <c r="B25" s="109"/>
      <c r="C25" s="130"/>
      <c r="D25" s="130"/>
      <c r="E25" s="109"/>
      <c r="F25" s="109"/>
      <c r="G25" s="109"/>
      <c r="H25" s="127"/>
      <c r="I25" s="159"/>
      <c r="J25" s="115"/>
      <c r="K25" s="109"/>
      <c r="L25" s="109"/>
      <c r="M25" s="109"/>
      <c r="N25" s="109"/>
    </row>
    <row r="26" spans="1:14" x14ac:dyDescent="0.25">
      <c r="A26" s="109"/>
      <c r="B26" s="109"/>
      <c r="C26" s="130"/>
      <c r="D26" s="130"/>
      <c r="E26" s="109"/>
      <c r="F26" s="109"/>
      <c r="G26" s="109"/>
      <c r="H26" s="127"/>
      <c r="I26" s="109"/>
      <c r="J26" s="109"/>
      <c r="K26" s="109"/>
      <c r="L26" s="109"/>
      <c r="M26" s="109"/>
      <c r="N26" s="109"/>
    </row>
    <row r="27" spans="1:14" x14ac:dyDescent="0.25">
      <c r="A27" s="109"/>
      <c r="B27" s="109"/>
      <c r="C27" s="130"/>
      <c r="D27" s="130"/>
      <c r="E27" s="109"/>
      <c r="F27" s="109"/>
      <c r="G27" s="109"/>
      <c r="H27" s="127"/>
      <c r="I27" s="109"/>
      <c r="J27" s="109"/>
      <c r="K27" s="109"/>
      <c r="L27" s="109"/>
      <c r="M27" s="109"/>
      <c r="N27" s="109"/>
    </row>
    <row r="28" spans="1:14" x14ac:dyDescent="0.25">
      <c r="A28" s="109"/>
      <c r="B28" s="109"/>
      <c r="C28" s="130"/>
      <c r="D28" s="130"/>
      <c r="E28" s="109"/>
      <c r="F28" s="109"/>
      <c r="G28" s="109"/>
      <c r="H28" s="127"/>
      <c r="I28" s="109"/>
      <c r="J28" s="109"/>
      <c r="K28" s="109"/>
      <c r="L28" s="109"/>
      <c r="M28" s="109"/>
      <c r="N28" s="109"/>
    </row>
    <row r="29" spans="1:14" x14ac:dyDescent="0.25">
      <c r="A29" s="109"/>
      <c r="B29" s="109"/>
      <c r="C29" s="130"/>
      <c r="D29" s="130"/>
      <c r="E29" s="109"/>
      <c r="F29" s="109"/>
      <c r="G29" s="109"/>
      <c r="H29" s="127"/>
      <c r="I29" s="109"/>
      <c r="J29" s="109"/>
      <c r="K29" s="109"/>
      <c r="L29" s="109"/>
      <c r="M29" s="109"/>
      <c r="N29" s="109"/>
    </row>
    <row r="30" spans="1:14" x14ac:dyDescent="0.25">
      <c r="A30" s="109"/>
      <c r="B30" s="109"/>
      <c r="C30" s="130"/>
      <c r="D30" s="130"/>
      <c r="E30" s="109"/>
      <c r="F30" s="109"/>
      <c r="G30" s="109"/>
      <c r="H30" s="127"/>
      <c r="I30" s="109"/>
      <c r="J30" s="109"/>
      <c r="K30" s="109"/>
      <c r="L30" s="109"/>
      <c r="M30" s="109"/>
      <c r="N30" s="109"/>
    </row>
    <row r="31" spans="1:14" x14ac:dyDescent="0.25">
      <c r="A31" s="109"/>
      <c r="B31" s="109"/>
      <c r="C31" s="171"/>
      <c r="D31" s="171"/>
      <c r="E31" s="109"/>
      <c r="F31" s="109"/>
      <c r="G31" s="109"/>
      <c r="H31" s="127"/>
      <c r="I31" s="109"/>
      <c r="J31" s="109"/>
      <c r="K31" s="109"/>
      <c r="L31" s="109"/>
      <c r="M31" s="109"/>
      <c r="N31" s="109"/>
    </row>
    <row r="32" spans="1:14" x14ac:dyDescent="0.25">
      <c r="A32" s="109"/>
      <c r="B32" s="109"/>
      <c r="C32" s="171"/>
      <c r="D32" s="171"/>
      <c r="E32" s="109"/>
      <c r="F32" s="109"/>
      <c r="G32" s="109"/>
      <c r="H32" s="127"/>
      <c r="I32" s="109"/>
      <c r="J32" s="109"/>
      <c r="K32" s="109"/>
      <c r="L32" s="109"/>
      <c r="M32" s="109"/>
      <c r="N32" s="109"/>
    </row>
  </sheetData>
  <mergeCells count="2">
    <mergeCell ref="A2:K2"/>
    <mergeCell ref="F5:J5"/>
  </mergeCells>
  <pageMargins left="0.75" right="0.75" top="1" bottom="1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"/>
  <sheetViews>
    <sheetView workbookViewId="0" zoomScale="115" zoomScaleNormal="115">
      <selection activeCell="B3" sqref="B3"/>
    </sheetView>
  </sheetViews>
  <sheetFormatPr defaultRowHeight="0" outlineLevelRow="0" outlineLevelCol="0" x14ac:dyDescent="0" customHeight="1"/>
  <cols>
    <col min="1" max="1" width="1.44140625" customWidth="1"/>
    <col min="2" max="2" width="30.44140625" customWidth="1"/>
    <col min="3" max="3" width="15.109375" customWidth="1"/>
    <col min="4" max="4" width="16.33203125" customWidth="1"/>
    <col min="5" max="5" width="18.33203125" customWidth="1"/>
    <col min="6" max="6" width="13.33203125" customWidth="1"/>
    <col min="7" max="7" width="9" hidden="1" customWidth="1"/>
    <col min="8" max="8" width="13.6640625" customWidth="1"/>
    <col min="9" max="9" width="19.33203125" hidden="1" customWidth="1"/>
    <col min="10" max="10" width="15.33203125" hidden="1" customWidth="1"/>
    <col min="11" max="11" width="14.33203125" hidden="1" customWidth="1"/>
    <col min="12" max="12" width="12.5546875" hidden="1" customWidth="1"/>
    <col min="13" max="13" width="19.109375" hidden="1" customWidth="1"/>
    <col min="14" max="15" width="9.109375" hidden="1" customWidth="1"/>
    <col min="16" max="16" width="14.109375" hidden="1" customWidth="1"/>
    <col min="17" max="35" width="9" hidden="1" customWidth="1"/>
    <col min="36" max="257" width="9.109375" customWidth="1"/>
  </cols>
  <sheetData>
    <row r="1" spans="1:19" x14ac:dyDescent="0.25">
      <c r="A1" s="63"/>
      <c r="B1" s="63" t="s">
        <v>269</v>
      </c>
      <c r="C1" s="63"/>
      <c r="D1" s="63"/>
      <c r="E1" s="63"/>
      <c r="F1" s="63"/>
      <c r="G1" s="63" t="s">
        <v>447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19" x14ac:dyDescent="0.25">
      <c r="A2" s="63" t="s">
        <v>269</v>
      </c>
      <c r="B2" s="63" t="s">
        <v>269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x14ac:dyDescent="0.25">
      <c r="A3" s="64" t="s">
        <v>448</v>
      </c>
      <c r="B3" s="63"/>
      <c r="C3" s="63"/>
      <c r="D3" s="63"/>
      <c r="E3" s="63"/>
      <c r="F3" s="63" t="s">
        <v>449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19" x14ac:dyDescent="0.25">
      <c r="A4" s="63" t="str">
        <f>+Activo!B3</f>
        <v>31 de Julio de 2026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ht="13.8" customHeight="1" spans="1:19" x14ac:dyDescent="0.25">
      <c r="A5" s="63"/>
      <c r="B5" s="63" t="s">
        <v>269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ht="14.4" customHeight="1" spans="1:19" x14ac:dyDescent="0.25">
      <c r="A6" s="122" t="s">
        <v>269</v>
      </c>
      <c r="B6" s="123"/>
      <c r="C6" s="172" t="s">
        <v>450</v>
      </c>
      <c r="D6" s="172" t="s">
        <v>451</v>
      </c>
      <c r="E6" s="172" t="s">
        <v>452</v>
      </c>
      <c r="F6" s="173" t="s">
        <v>451</v>
      </c>
      <c r="G6" s="174" t="s">
        <v>450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spans="1:19" x14ac:dyDescent="0.25">
      <c r="A7" s="129" t="s">
        <v>269</v>
      </c>
      <c r="B7" s="175" t="s">
        <v>453</v>
      </c>
      <c r="C7" s="144" t="s">
        <v>454</v>
      </c>
      <c r="D7" s="144" t="s">
        <v>455</v>
      </c>
      <c r="E7" s="144" t="s">
        <v>455</v>
      </c>
      <c r="F7" s="146"/>
      <c r="G7" s="79" t="s">
        <v>454</v>
      </c>
      <c r="H7" s="63"/>
      <c r="I7" s="176"/>
      <c r="J7" s="177" t="s">
        <v>456</v>
      </c>
      <c r="K7" s="177" t="s">
        <v>457</v>
      </c>
      <c r="L7" s="177" t="s">
        <v>458</v>
      </c>
      <c r="M7" s="177" t="s">
        <v>459</v>
      </c>
      <c r="N7" s="177" t="s">
        <v>460</v>
      </c>
      <c r="O7" s="177" t="s">
        <v>461</v>
      </c>
      <c r="P7" s="177" t="s">
        <v>462</v>
      </c>
      <c r="Q7" s="178" t="s">
        <v>463</v>
      </c>
      <c r="R7" s="63"/>
      <c r="S7" s="63"/>
    </row>
    <row r="8" ht="13.8" customHeight="1" spans="1:19" x14ac:dyDescent="0.25">
      <c r="A8" s="132"/>
      <c r="B8" s="133"/>
      <c r="C8" s="179">
        <f>+EESP!F9</f>
        <v>46234</v>
      </c>
      <c r="D8" s="180" t="s">
        <v>464</v>
      </c>
      <c r="E8" s="180" t="s">
        <v>465</v>
      </c>
      <c r="F8" s="181" t="s">
        <v>466</v>
      </c>
      <c r="G8" s="182" t="s">
        <v>467</v>
      </c>
      <c r="H8" s="63"/>
      <c r="I8" s="183"/>
      <c r="J8" s="184"/>
      <c r="K8" s="184"/>
      <c r="L8" s="184"/>
      <c r="M8" s="184"/>
      <c r="N8" s="184"/>
      <c r="O8" s="184"/>
      <c r="P8" s="184"/>
      <c r="Q8" s="185"/>
      <c r="R8" s="63"/>
      <c r="S8" s="63"/>
    </row>
    <row r="9" hidden="1" spans="1:19" x14ac:dyDescent="0.25">
      <c r="A9" s="129"/>
      <c r="B9" s="109" t="s">
        <v>468</v>
      </c>
      <c r="C9" s="153">
        <f>SUM(D9:F9)</f>
        <v>0</v>
      </c>
      <c r="D9" s="186">
        <v>0</v>
      </c>
      <c r="E9" s="186">
        <f>+SALDOS!C151</f>
      </c>
      <c r="F9" s="187">
        <v>0</v>
      </c>
      <c r="G9" s="188"/>
      <c r="H9" s="63"/>
      <c r="I9" s="63"/>
      <c r="J9" s="189"/>
      <c r="K9" s="189"/>
      <c r="L9" s="189"/>
      <c r="M9" s="189"/>
      <c r="N9" s="189"/>
      <c r="O9" s="189"/>
      <c r="P9" s="189"/>
      <c r="Q9" s="189"/>
      <c r="R9" s="63"/>
      <c r="S9" s="63"/>
    </row>
    <row r="10" hidden="1" spans="1:19" x14ac:dyDescent="0.25">
      <c r="A10" s="129"/>
      <c r="B10" s="109" t="s">
        <v>469</v>
      </c>
      <c r="C10" s="153">
        <f>SUM(D10:F10)</f>
        <v>0</v>
      </c>
      <c r="D10" s="186">
        <v>0</v>
      </c>
      <c r="E10" s="186">
        <f>+SALDOS!C204</f>
      </c>
      <c r="F10" s="187">
        <v>0</v>
      </c>
      <c r="G10" s="188"/>
      <c r="H10" s="63"/>
      <c r="I10" s="63"/>
      <c r="J10" s="189"/>
      <c r="K10" s="189"/>
      <c r="L10" s="189"/>
      <c r="M10" s="189"/>
      <c r="N10" s="189"/>
      <c r="O10" s="189"/>
      <c r="P10" s="189"/>
      <c r="Q10" s="189"/>
      <c r="R10" s="63"/>
      <c r="S10" s="63"/>
    </row>
    <row r="11" hidden="1" spans="1:19" x14ac:dyDescent="0.25">
      <c r="A11" s="129"/>
      <c r="B11" s="109" t="s">
        <v>470</v>
      </c>
      <c r="C11" s="153">
        <f>SUM(D11:F11)</f>
        <v>0</v>
      </c>
      <c r="D11" s="186">
        <v>0</v>
      </c>
      <c r="E11" s="186">
        <f>+SALDOS!C187</f>
      </c>
      <c r="F11" s="187">
        <v>0</v>
      </c>
      <c r="G11" s="188"/>
      <c r="H11" s="63"/>
      <c r="I11" s="63"/>
      <c r="J11" s="105"/>
      <c r="K11" s="105"/>
      <c r="L11" s="105"/>
      <c r="M11" s="63"/>
      <c r="N11" s="105"/>
      <c r="O11" s="63"/>
      <c r="P11" s="63"/>
      <c r="Q11" s="105"/>
      <c r="R11" s="63"/>
      <c r="S11" s="63"/>
    </row>
    <row r="12" hidden="1" spans="1:19" x14ac:dyDescent="0.25">
      <c r="A12" s="129"/>
      <c r="B12" s="109" t="s">
        <v>471</v>
      </c>
      <c r="C12" s="153">
        <f>SUM(D12:F12)</f>
        <v>0</v>
      </c>
      <c r="D12" s="186">
        <v>0</v>
      </c>
      <c r="E12" s="186">
        <f>+SALDOS!C194</f>
      </c>
      <c r="F12" s="187">
        <v>0</v>
      </c>
      <c r="G12" s="188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</row>
    <row r="13" hidden="1" spans="1:19" x14ac:dyDescent="0.25">
      <c r="A13" s="129"/>
      <c r="B13" s="109" t="s">
        <v>472</v>
      </c>
      <c r="C13" s="153">
        <f>SUM(D13:F13)</f>
        <v>0</v>
      </c>
      <c r="D13" s="186">
        <v>0</v>
      </c>
      <c r="E13" s="186">
        <f>+SALDOS!C192</f>
      </c>
      <c r="F13" s="187">
        <v>0</v>
      </c>
      <c r="G13" s="188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19" x14ac:dyDescent="0.25">
      <c r="A14" s="129"/>
      <c r="B14" s="109" t="s">
        <v>473</v>
      </c>
      <c r="C14" s="153">
        <f>SUM(D14:F14)</f>
        <v>1633.99</v>
      </c>
      <c r="D14" s="186">
        <f>+SALDOS!C150</f>
        <v>1633.99</v>
      </c>
      <c r="E14" s="186">
        <v>0</v>
      </c>
      <c r="F14" s="187">
        <v>0</v>
      </c>
      <c r="G14" s="188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hidden="1" spans="1:19" x14ac:dyDescent="0.25">
      <c r="A15" s="129"/>
      <c r="B15" s="109" t="s">
        <v>474</v>
      </c>
      <c r="C15" s="153">
        <f>SUM(D15:F15)</f>
        <v>0</v>
      </c>
      <c r="D15" s="186">
        <f>+SALDOS!C153</f>
      </c>
      <c r="E15" s="186">
        <v>0</v>
      </c>
      <c r="F15" s="187">
        <v>0</v>
      </c>
      <c r="G15" s="188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x14ac:dyDescent="0.25">
      <c r="A16" s="129"/>
      <c r="B16" s="109" t="s">
        <v>475</v>
      </c>
      <c r="C16" s="153">
        <f>SUM(D16:F16)</f>
        <v>8674.63</v>
      </c>
      <c r="D16" s="186">
        <f>+SALDOS!C148</f>
        <v>8674.63</v>
      </c>
      <c r="E16" s="186">
        <v>0</v>
      </c>
      <c r="F16" s="187">
        <v>0</v>
      </c>
      <c r="G16" s="188"/>
      <c r="H16" s="104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hidden="1" spans="1:19" x14ac:dyDescent="0.25">
      <c r="A17" s="129"/>
      <c r="B17" s="109" t="s">
        <v>476</v>
      </c>
      <c r="C17" s="153">
        <f>SUM(D17:F17)</f>
        <v>0</v>
      </c>
      <c r="D17" s="190">
        <v>0</v>
      </c>
      <c r="E17" s="190">
        <f>+SALDOS!C200</f>
      </c>
      <c r="F17" s="187">
        <v>0</v>
      </c>
      <c r="G17" s="188"/>
      <c r="H17" s="104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hidden="1" spans="1:19" x14ac:dyDescent="0.25">
      <c r="A18" s="129"/>
      <c r="B18" s="109" t="s">
        <v>477</v>
      </c>
      <c r="C18" s="153">
        <f>SUM(D18:F18)</f>
        <v>0</v>
      </c>
      <c r="D18" s="190">
        <v>0</v>
      </c>
      <c r="E18" s="190">
        <v>0</v>
      </c>
      <c r="F18" s="187">
        <v>0</v>
      </c>
      <c r="G18" s="188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</row>
    <row r="19" spans="1:19" x14ac:dyDescent="0.25">
      <c r="A19" s="129"/>
      <c r="B19" s="109" t="s">
        <v>478</v>
      </c>
      <c r="C19" s="153">
        <f>SUM(D19:F19)</f>
        <v>251.68</v>
      </c>
      <c r="D19" s="190">
        <f>+SALDOS!C180</f>
        <v>251.68</v>
      </c>
      <c r="E19" s="190">
        <v>0</v>
      </c>
      <c r="F19" s="187">
        <v>0</v>
      </c>
      <c r="G19" s="188"/>
      <c r="H19" s="63"/>
      <c r="I19" s="63"/>
      <c r="J19" s="105"/>
      <c r="K19" s="105"/>
      <c r="L19" s="105"/>
      <c r="M19" s="63"/>
      <c r="N19" s="105"/>
      <c r="O19" s="63"/>
      <c r="P19" s="63"/>
      <c r="Q19" s="105"/>
      <c r="R19" s="63"/>
      <c r="S19" s="63"/>
    </row>
    <row r="20" hidden="1" spans="1:19" x14ac:dyDescent="0.25">
      <c r="A20" s="129"/>
      <c r="B20" s="109" t="s">
        <v>479</v>
      </c>
      <c r="C20" s="153">
        <f>SUM(D20:F20)</f>
        <v>0</v>
      </c>
      <c r="D20" s="190">
        <f>+SALDOS!C149</f>
      </c>
      <c r="E20" s="190">
        <v>0</v>
      </c>
      <c r="F20" s="187">
        <v>0</v>
      </c>
      <c r="G20" s="188"/>
      <c r="H20" s="63"/>
      <c r="I20" s="63"/>
      <c r="J20" s="105"/>
      <c r="K20" s="105"/>
      <c r="L20" s="105"/>
      <c r="M20" s="63"/>
      <c r="N20" s="105"/>
      <c r="O20" s="63"/>
      <c r="P20" s="63"/>
      <c r="Q20" s="105"/>
      <c r="R20" s="63"/>
      <c r="S20" s="63"/>
    </row>
    <row r="21" hidden="1" spans="1:19" x14ac:dyDescent="0.25">
      <c r="A21" s="129"/>
      <c r="B21" s="109" t="s">
        <v>480</v>
      </c>
      <c r="C21" s="153">
        <f>SUM(D21:F21)</f>
        <v>0</v>
      </c>
      <c r="D21" s="190">
        <v>0</v>
      </c>
      <c r="E21" s="190">
        <f>+SALDOS!C219</f>
      </c>
      <c r="F21" s="187">
        <v>0</v>
      </c>
      <c r="G21" s="188"/>
      <c r="H21" s="63"/>
      <c r="I21" s="63"/>
      <c r="J21" s="105"/>
      <c r="K21" s="105"/>
      <c r="L21" s="105"/>
      <c r="M21" s="63"/>
      <c r="N21" s="105"/>
      <c r="O21" s="63"/>
      <c r="P21" s="63"/>
      <c r="Q21" s="105"/>
      <c r="R21" s="63"/>
      <c r="S21" s="63"/>
    </row>
    <row r="22" hidden="1" spans="1:19" x14ac:dyDescent="0.25">
      <c r="A22" s="129"/>
      <c r="B22" s="109" t="s">
        <v>481</v>
      </c>
      <c r="C22" s="153">
        <f>SUM(D22:F22)</f>
        <v>0</v>
      </c>
      <c r="D22" s="190">
        <f>++SALDOS!C186</f>
      </c>
      <c r="E22" s="190">
        <v>0</v>
      </c>
      <c r="F22" s="187">
        <v>0</v>
      </c>
      <c r="G22" s="188"/>
      <c r="H22" s="63"/>
      <c r="I22" s="63"/>
      <c r="J22" s="105"/>
      <c r="K22" s="105"/>
      <c r="L22" s="105"/>
      <c r="M22" s="63"/>
      <c r="N22" s="105"/>
      <c r="O22" s="63"/>
      <c r="P22" s="63"/>
      <c r="Q22" s="105"/>
      <c r="R22" s="63"/>
      <c r="S22" s="63"/>
    </row>
    <row r="23" hidden="1" spans="1:19" x14ac:dyDescent="0.25">
      <c r="A23" s="129"/>
      <c r="B23" s="109" t="s">
        <v>482</v>
      </c>
      <c r="C23" s="153">
        <f>SUM(D23:F23)</f>
        <v>0</v>
      </c>
      <c r="D23" s="190">
        <v>0</v>
      </c>
      <c r="E23" s="190">
        <v>0</v>
      </c>
      <c r="F23" s="187">
        <v>0</v>
      </c>
      <c r="G23" s="188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hidden="1" spans="1:19" x14ac:dyDescent="0.25">
      <c r="A24" s="129"/>
      <c r="B24" s="109" t="s">
        <v>483</v>
      </c>
      <c r="C24" s="153">
        <f>SUM(D24:F24)</f>
        <v>0</v>
      </c>
      <c r="D24" s="190">
        <v>0</v>
      </c>
      <c r="E24" s="190">
        <f>+SALDOS!C193</f>
      </c>
      <c r="F24" s="187">
        <v>0</v>
      </c>
      <c r="G24" s="188"/>
      <c r="H24" s="105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hidden="1" spans="1:19" x14ac:dyDescent="0.25">
      <c r="A25" s="129"/>
      <c r="B25" s="109" t="s">
        <v>484</v>
      </c>
      <c r="C25" s="153">
        <f>SUM(D25:F25)</f>
        <v>0</v>
      </c>
      <c r="D25" s="190">
        <v>0</v>
      </c>
      <c r="E25" s="190">
        <v>0</v>
      </c>
      <c r="F25" s="187">
        <v>0</v>
      </c>
      <c r="G25" s="188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1:19" x14ac:dyDescent="0.25">
      <c r="A26" s="129"/>
      <c r="B26" s="109" t="s">
        <v>485</v>
      </c>
      <c r="C26" s="153">
        <f>SUM(D26:F26)</f>
        <v>275.24</v>
      </c>
      <c r="D26" s="190">
        <v>0</v>
      </c>
      <c r="E26" s="190">
        <f>+SALDOS!C203+SALDOS!C176</f>
        <v>275.24</v>
      </c>
      <c r="F26" s="187">
        <v>0</v>
      </c>
      <c r="G26" s="188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hidden="1" spans="1:19" x14ac:dyDescent="0.25">
      <c r="A27" s="129"/>
      <c r="B27" s="109" t="s">
        <v>475</v>
      </c>
      <c r="C27" s="153">
        <f>SUM(D27:F27)</f>
        <v>0</v>
      </c>
      <c r="D27" s="190">
        <v>0</v>
      </c>
      <c r="E27" s="190">
        <v>0</v>
      </c>
      <c r="F27" s="187">
        <v>0</v>
      </c>
      <c r="G27" s="188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</row>
    <row r="28" hidden="1" spans="1:19" x14ac:dyDescent="0.25">
      <c r="A28" s="129"/>
      <c r="B28" s="109" t="s">
        <v>486</v>
      </c>
      <c r="C28" s="153">
        <f>SUM(D28:F28)</f>
        <v>0</v>
      </c>
      <c r="D28" s="190">
        <v>0</v>
      </c>
      <c r="E28" s="190">
        <f>+SALDOS!C188</f>
      </c>
      <c r="F28" s="187">
        <v>0</v>
      </c>
      <c r="G28" s="188"/>
      <c r="H28" s="63"/>
      <c r="I28" s="191" t="s">
        <v>487</v>
      </c>
      <c r="J28" s="192">
        <v>3400.5126178084683</v>
      </c>
      <c r="K28" s="192">
        <v>5282.081275674491</v>
      </c>
      <c r="L28" s="192">
        <v>3714.6061065170416</v>
      </c>
      <c r="M28" s="191"/>
      <c r="N28" s="192"/>
      <c r="O28" s="191"/>
      <c r="P28" s="192">
        <v>4372</v>
      </c>
      <c r="Q28" s="192"/>
      <c r="R28" s="63" t="s">
        <v>488</v>
      </c>
      <c r="S28" s="63"/>
    </row>
    <row r="29" spans="1:19" x14ac:dyDescent="0.25">
      <c r="A29" s="129"/>
      <c r="B29" s="109" t="s">
        <v>489</v>
      </c>
      <c r="C29" s="153">
        <f>SUM(D29:F29)</f>
        <v>30470.95</v>
      </c>
      <c r="D29" s="186">
        <v>0</v>
      </c>
      <c r="E29" s="186">
        <f>+SALDOS!C132</f>
        <v>30470.95</v>
      </c>
      <c r="F29" s="187">
        <v>0</v>
      </c>
      <c r="G29" s="188"/>
      <c r="H29" s="63"/>
      <c r="I29" s="193" t="s">
        <v>490</v>
      </c>
      <c r="J29" s="194">
        <v>7385.662232726983</v>
      </c>
      <c r="K29" s="194">
        <v>30178.815451905335</v>
      </c>
      <c r="L29" s="194">
        <v>9981.542315367677</v>
      </c>
      <c r="M29" s="193"/>
      <c r="N29" s="194"/>
      <c r="O29" s="193"/>
      <c r="P29" s="193"/>
      <c r="Q29" s="194"/>
      <c r="R29" s="63" t="s">
        <v>491</v>
      </c>
      <c r="S29" s="63"/>
    </row>
    <row r="30" hidden="1" spans="1:19" x14ac:dyDescent="0.25">
      <c r="A30" s="129"/>
      <c r="B30" s="109" t="s">
        <v>492</v>
      </c>
      <c r="C30" s="153">
        <f>SUM(D30:F30)</f>
        <v>0</v>
      </c>
      <c r="D30" s="186">
        <v>0</v>
      </c>
      <c r="E30" s="186">
        <v>0</v>
      </c>
      <c r="F30" s="187">
        <v>0</v>
      </c>
      <c r="G30" s="188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hidden="1" spans="1:19" x14ac:dyDescent="0.25">
      <c r="A31" s="129"/>
      <c r="B31" s="109" t="s">
        <v>493</v>
      </c>
      <c r="C31" s="153">
        <f>SUM(D31:F31)</f>
        <v>0</v>
      </c>
      <c r="D31" s="186">
        <v>0</v>
      </c>
      <c r="E31" s="186">
        <v>0</v>
      </c>
      <c r="F31" s="187">
        <v>0</v>
      </c>
      <c r="G31" s="188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hidden="1" spans="1:19" x14ac:dyDescent="0.25">
      <c r="A32" s="129"/>
      <c r="B32" s="109" t="s">
        <v>494</v>
      </c>
      <c r="C32" s="153">
        <f>SUM(D32:F32)</f>
        <v>0</v>
      </c>
      <c r="D32" s="186">
        <v>0</v>
      </c>
      <c r="E32" s="186">
        <f>+SALDOS!C213</f>
      </c>
      <c r="F32" s="187">
        <v>0</v>
      </c>
      <c r="G32" s="188"/>
      <c r="H32" s="63"/>
      <c r="I32" s="195" t="s">
        <v>495</v>
      </c>
      <c r="J32" s="192"/>
      <c r="K32" s="192"/>
      <c r="L32" s="192">
        <f>+E32</f>
        <v>0</v>
      </c>
      <c r="M32" s="191"/>
      <c r="N32" s="192"/>
      <c r="O32" s="191"/>
      <c r="P32" s="191"/>
      <c r="Q32" s="196"/>
      <c r="R32" s="63"/>
      <c r="S32" s="63"/>
    </row>
    <row r="33" hidden="1" spans="1:19" x14ac:dyDescent="0.25">
      <c r="A33" s="129"/>
      <c r="B33" s="109" t="s">
        <v>496</v>
      </c>
      <c r="C33" s="153">
        <f>SUM(D33:F33)</f>
        <v>0</v>
      </c>
      <c r="D33" s="186">
        <v>0</v>
      </c>
      <c r="E33" s="186">
        <v>0</v>
      </c>
      <c r="F33" s="187">
        <v>0</v>
      </c>
      <c r="G33" s="188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hidden="1" spans="1:19" x14ac:dyDescent="0.25">
      <c r="A34" s="129"/>
      <c r="B34" s="109" t="s">
        <v>497</v>
      </c>
      <c r="C34" s="153">
        <f>SUM(D34:F34)</f>
        <v>0</v>
      </c>
      <c r="D34" s="186">
        <f>+SALDOS!C181</f>
      </c>
      <c r="E34" s="186">
        <v>0</v>
      </c>
      <c r="F34" s="187">
        <v>0</v>
      </c>
      <c r="G34" s="188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hidden="1" spans="1:19" x14ac:dyDescent="0.25">
      <c r="A35" s="129"/>
      <c r="B35" s="109" t="s">
        <v>498</v>
      </c>
      <c r="C35" s="153">
        <f>SUM(D35:F35)</f>
        <v>0</v>
      </c>
      <c r="D35" s="186">
        <v>0</v>
      </c>
      <c r="E35" s="186">
        <v>0</v>
      </c>
      <c r="F35" s="187">
        <v>0</v>
      </c>
      <c r="G35" s="188"/>
      <c r="H35" s="63"/>
      <c r="I35" s="191" t="s">
        <v>499</v>
      </c>
      <c r="J35" s="192">
        <v>474</v>
      </c>
      <c r="K35" s="192">
        <v>528</v>
      </c>
      <c r="L35" s="192"/>
      <c r="M35" s="191"/>
      <c r="N35" s="192"/>
      <c r="O35" s="191"/>
      <c r="P35" s="191"/>
      <c r="Q35" s="192"/>
      <c r="R35" s="63"/>
      <c r="S35" s="63"/>
    </row>
    <row r="36" hidden="1" spans="1:19" x14ac:dyDescent="0.25">
      <c r="A36" s="129"/>
      <c r="B36" s="109" t="s">
        <v>500</v>
      </c>
      <c r="C36" s="153">
        <f>SUM(D36:F36)</f>
        <v>0</v>
      </c>
      <c r="D36" s="186">
        <v>0</v>
      </c>
      <c r="E36" s="186">
        <v>0</v>
      </c>
      <c r="F36" s="187">
        <v>0</v>
      </c>
      <c r="G36" s="197"/>
      <c r="H36" s="63"/>
      <c r="I36" s="191" t="s">
        <v>501</v>
      </c>
      <c r="J36" s="192"/>
      <c r="K36" s="192"/>
      <c r="L36" s="192"/>
      <c r="M36" s="192"/>
      <c r="N36" s="192"/>
      <c r="O36" s="193"/>
      <c r="P36" s="192">
        <f>+C36</f>
        <v>0</v>
      </c>
      <c r="Q36" s="192"/>
      <c r="R36" s="63"/>
      <c r="S36" s="63"/>
    </row>
    <row r="37" hidden="1" spans="1:19" x14ac:dyDescent="0.25">
      <c r="A37" s="129"/>
      <c r="B37" s="109" t="s">
        <v>502</v>
      </c>
      <c r="C37" s="153">
        <f>SUM(D37:F37)</f>
        <v>0</v>
      </c>
      <c r="D37" s="186">
        <v>0</v>
      </c>
      <c r="E37" s="186">
        <v>0</v>
      </c>
      <c r="F37" s="187">
        <v>0</v>
      </c>
      <c r="G37" s="197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 hidden="1" spans="1:19" x14ac:dyDescent="0.25">
      <c r="A38" s="129"/>
      <c r="B38" s="109" t="s">
        <v>311</v>
      </c>
      <c r="C38" s="153">
        <f>SUM(D38:F38)</f>
        <v>0</v>
      </c>
      <c r="D38" s="186">
        <v>0</v>
      </c>
      <c r="E38" s="186">
        <v>0</v>
      </c>
      <c r="F38" s="187">
        <v>0</v>
      </c>
      <c r="G38" s="197"/>
      <c r="H38" s="63"/>
      <c r="I38" s="191" t="s">
        <v>503</v>
      </c>
      <c r="J38" s="192"/>
      <c r="K38" s="192">
        <f>4800+5000+3000+5000</f>
        <v>17800</v>
      </c>
      <c r="L38" s="192">
        <v>7200</v>
      </c>
      <c r="M38" s="191"/>
      <c r="N38" s="192"/>
      <c r="O38" s="191"/>
      <c r="P38" s="191"/>
      <c r="Q38" s="192"/>
      <c r="R38" s="63" t="s">
        <v>504</v>
      </c>
      <c r="S38" s="63"/>
    </row>
    <row r="39" spans="1:19" x14ac:dyDescent="0.25">
      <c r="A39" s="129"/>
      <c r="B39" s="109" t="s">
        <v>505</v>
      </c>
      <c r="C39" s="153">
        <f>SUM(D39:F39)</f>
        <v>1760.8</v>
      </c>
      <c r="D39" s="186">
        <v>0</v>
      </c>
      <c r="E39" s="186">
        <f>+SALDOS!C171+SALDOS!C217</f>
        <v>1760.8</v>
      </c>
      <c r="F39" s="187">
        <v>0</v>
      </c>
      <c r="G39" s="197"/>
      <c r="H39" s="105"/>
      <c r="I39" s="87" t="s">
        <v>506</v>
      </c>
      <c r="J39" s="198">
        <v>281.16</v>
      </c>
      <c r="K39" s="198">
        <f>3211.01+4543.6</f>
        <v>7754.610000000001</v>
      </c>
      <c r="L39" s="198">
        <v>1075.53</v>
      </c>
      <c r="M39" s="87"/>
      <c r="N39" s="198"/>
      <c r="O39" s="87"/>
      <c r="P39" s="87"/>
      <c r="Q39" s="198"/>
      <c r="R39" s="63"/>
      <c r="S39" s="63"/>
    </row>
    <row r="40" ht="13.8" customHeight="1" spans="1:19" x14ac:dyDescent="0.25">
      <c r="A40" s="129"/>
      <c r="B40" s="109" t="s">
        <v>507</v>
      </c>
      <c r="C40" s="153">
        <f>SUM(D40:F40)</f>
        <v>1732.02</v>
      </c>
      <c r="D40" s="186">
        <v>0</v>
      </c>
      <c r="E40" s="186">
        <f>+SALDOS!C166+SALDOS!D166</f>
        <v>1732.02</v>
      </c>
      <c r="F40" s="187">
        <v>0</v>
      </c>
      <c r="G40" s="188"/>
      <c r="H40" s="105"/>
      <c r="I40" s="191" t="s">
        <v>508</v>
      </c>
      <c r="J40" s="192">
        <f>2248.27+2043.98+1241.35</f>
        <v>5533.6</v>
      </c>
      <c r="K40" s="192">
        <f>2543.13+2338.55+2410.41</f>
        <v>7292.09</v>
      </c>
      <c r="L40" s="192">
        <f>1803.75+2112.36+2202.79</f>
        <v>6118.9</v>
      </c>
      <c r="M40" s="191">
        <v>1098.32</v>
      </c>
      <c r="N40" s="192"/>
      <c r="O40" s="191"/>
      <c r="P40" s="191"/>
      <c r="Q40" s="192"/>
      <c r="R40" s="63" t="s">
        <v>509</v>
      </c>
      <c r="S40" s="63"/>
    </row>
    <row r="41" hidden="1" spans="1:19" x14ac:dyDescent="0.25">
      <c r="A41" s="129"/>
      <c r="B41" s="109" t="s">
        <v>510</v>
      </c>
      <c r="C41" s="153">
        <f>SUM(D41:F41)</f>
        <v>0</v>
      </c>
      <c r="D41" s="186">
        <v>0</v>
      </c>
      <c r="E41" s="186">
        <v>0</v>
      </c>
      <c r="F41" s="187">
        <v>0</v>
      </c>
      <c r="G41" s="188"/>
      <c r="H41" s="63"/>
      <c r="I41" s="63"/>
      <c r="J41" s="63"/>
      <c r="K41" s="63"/>
      <c r="L41" s="63"/>
      <c r="M41" s="63"/>
      <c r="N41" s="105"/>
      <c r="O41" s="63"/>
      <c r="P41" s="63"/>
      <c r="Q41" s="105"/>
      <c r="R41" s="63"/>
      <c r="S41" s="63"/>
    </row>
    <row r="42" ht="13.8" customHeight="1" hidden="1" spans="1:19" x14ac:dyDescent="0.25">
      <c r="A42" s="129"/>
      <c r="B42" s="109" t="s">
        <v>511</v>
      </c>
      <c r="C42" s="153">
        <f>SUM(D42:F42)</f>
        <v>0</v>
      </c>
      <c r="D42" s="186">
        <f>SALDOS!C168</f>
      </c>
      <c r="E42" s="186">
        <v>0</v>
      </c>
      <c r="F42" s="187">
        <v>0</v>
      </c>
      <c r="G42" s="188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</row>
    <row r="43" spans="1:19" x14ac:dyDescent="0.25">
      <c r="A43" s="129"/>
      <c r="B43" s="109" t="s">
        <v>512</v>
      </c>
      <c r="C43" s="153">
        <f>SUM(D43:F43)</f>
        <v>178280.72</v>
      </c>
      <c r="D43" s="186">
        <v>0</v>
      </c>
      <c r="E43" s="186">
        <f>+SALDOS!C169</f>
        <v>178280.72</v>
      </c>
      <c r="F43" s="187">
        <v>0</v>
      </c>
      <c r="G43" s="188"/>
      <c r="H43" s="105"/>
      <c r="I43" s="176" t="s">
        <v>513</v>
      </c>
      <c r="J43" s="199"/>
      <c r="K43" s="200">
        <f>3200+3115</f>
        <v>6315</v>
      </c>
      <c r="L43" s="200">
        <f>4800+1400+3115</f>
        <v>9315</v>
      </c>
      <c r="M43" s="200">
        <f>29395.55+31000.65</f>
        <v>60396.2</v>
      </c>
      <c r="N43" s="200"/>
      <c r="O43" s="200">
        <v>3180</v>
      </c>
      <c r="P43" s="199"/>
      <c r="Q43" s="201"/>
      <c r="R43" s="63"/>
      <c r="S43" s="63"/>
    </row>
    <row r="44" spans="1:19" x14ac:dyDescent="0.25">
      <c r="A44" s="129"/>
      <c r="B44" s="109" t="s">
        <v>514</v>
      </c>
      <c r="C44" s="153">
        <f>SUM(D44:F44)</f>
        <v>2084.42</v>
      </c>
      <c r="D44" s="186">
        <v>0</v>
      </c>
      <c r="E44" s="186">
        <f>+SALDOS!C190</f>
        <v>2084.42</v>
      </c>
      <c r="F44" s="187">
        <v>0</v>
      </c>
      <c r="G44" s="188"/>
      <c r="H44" s="63"/>
      <c r="I44" s="195"/>
      <c r="J44" s="192"/>
      <c r="K44" s="192"/>
      <c r="L44" s="192"/>
      <c r="M44" s="192"/>
      <c r="N44" s="192"/>
      <c r="O44" s="192"/>
      <c r="P44" s="192"/>
      <c r="Q44" s="196"/>
      <c r="R44" s="63"/>
      <c r="S44" s="63"/>
    </row>
    <row r="45" hidden="1" spans="1:19" x14ac:dyDescent="0.25">
      <c r="A45" s="129"/>
      <c r="B45" s="109" t="s">
        <v>515</v>
      </c>
      <c r="C45" s="153">
        <f>SUM(D45:F45)</f>
        <v>0</v>
      </c>
      <c r="D45" s="186">
        <v>0</v>
      </c>
      <c r="E45" s="186">
        <f>+SALDOS!C182</f>
      </c>
      <c r="F45" s="187">
        <v>0</v>
      </c>
      <c r="G45" s="188"/>
      <c r="H45" s="63"/>
      <c r="I45" s="195"/>
      <c r="J45" s="192"/>
      <c r="K45" s="192"/>
      <c r="L45" s="192"/>
      <c r="M45" s="192"/>
      <c r="N45" s="192"/>
      <c r="O45" s="192"/>
      <c r="P45" s="192"/>
      <c r="Q45" s="196"/>
      <c r="R45" s="63"/>
      <c r="S45" s="63"/>
    </row>
    <row r="46" hidden="1" spans="1:19" x14ac:dyDescent="0.25">
      <c r="A46" s="129"/>
      <c r="B46" s="109" t="s">
        <v>516</v>
      </c>
      <c r="C46" s="153">
        <f>SUM(D46:F46)</f>
        <v>0</v>
      </c>
      <c r="D46" s="186">
        <v>0</v>
      </c>
      <c r="E46" s="186">
        <f>+SALDOS!C175</f>
      </c>
      <c r="F46" s="187">
        <v>0</v>
      </c>
      <c r="G46" s="188"/>
      <c r="H46" s="63"/>
      <c r="I46" s="195"/>
      <c r="J46" s="192"/>
      <c r="K46" s="192"/>
      <c r="L46" s="192"/>
      <c r="M46" s="192"/>
      <c r="N46" s="192"/>
      <c r="O46" s="192"/>
      <c r="P46" s="192"/>
      <c r="Q46" s="196"/>
      <c r="R46" s="63"/>
      <c r="S46" s="63"/>
    </row>
    <row r="47" hidden="1" spans="1:19" x14ac:dyDescent="0.25">
      <c r="A47" s="129"/>
      <c r="B47" s="109" t="s">
        <v>517</v>
      </c>
      <c r="C47" s="153">
        <f>SUM(D47:F47)</f>
        <v>0</v>
      </c>
      <c r="D47" s="186">
        <v>0</v>
      </c>
      <c r="E47" s="186">
        <f>+SALDOS!C191</f>
      </c>
      <c r="F47" s="187">
        <v>0</v>
      </c>
      <c r="G47" s="188"/>
      <c r="H47" s="63"/>
      <c r="I47" s="195" t="s">
        <v>518</v>
      </c>
      <c r="J47" s="191"/>
      <c r="K47" s="191"/>
      <c r="L47" s="191"/>
      <c r="M47" s="192">
        <f>+C47</f>
        <v>0</v>
      </c>
      <c r="N47" s="192"/>
      <c r="O47" s="191"/>
      <c r="P47" s="191"/>
      <c r="Q47" s="196"/>
      <c r="R47" s="63"/>
      <c r="S47" s="63"/>
    </row>
    <row r="48" hidden="1" spans="1:19" x14ac:dyDescent="0.25">
      <c r="A48" s="129"/>
      <c r="B48" s="109" t="s">
        <v>519</v>
      </c>
      <c r="C48" s="153">
        <f>SUM(D48:F48)</f>
        <v>0</v>
      </c>
      <c r="D48" s="186">
        <v>0</v>
      </c>
      <c r="E48" s="186">
        <f>+SALDOS!C216</f>
      </c>
      <c r="F48" s="187">
        <v>0</v>
      </c>
      <c r="G48" s="188"/>
      <c r="H48" s="63"/>
      <c r="I48" s="195"/>
      <c r="J48" s="191"/>
      <c r="K48" s="191"/>
      <c r="L48" s="191"/>
      <c r="M48" s="192"/>
      <c r="N48" s="192"/>
      <c r="O48" s="191"/>
      <c r="P48" s="191"/>
      <c r="Q48" s="196"/>
      <c r="R48" s="63"/>
      <c r="S48" s="63"/>
    </row>
    <row r="49" spans="1:19" x14ac:dyDescent="0.25">
      <c r="A49" s="129"/>
      <c r="B49" s="109" t="s">
        <v>520</v>
      </c>
      <c r="C49" s="153">
        <f>SUM(D49:F49)</f>
        <v>-17162.57</v>
      </c>
      <c r="D49" s="186">
        <f>+SALDOS!C157-SALDOS!D157</f>
        <v>-17162.57</v>
      </c>
      <c r="E49" s="186">
        <v>0</v>
      </c>
      <c r="F49" s="187">
        <v>0</v>
      </c>
      <c r="G49" s="188"/>
      <c r="H49" s="63"/>
      <c r="I49" s="195" t="s">
        <v>521</v>
      </c>
      <c r="J49" s="191"/>
      <c r="K49" s="191"/>
      <c r="L49" s="191"/>
      <c r="M49" s="192">
        <f>+C49</f>
        <v>-17162.57</v>
      </c>
      <c r="N49" s="192"/>
      <c r="O49" s="191"/>
      <c r="P49" s="191"/>
      <c r="Q49" s="196"/>
      <c r="R49" s="63" t="s">
        <v>522</v>
      </c>
      <c r="S49" s="63"/>
    </row>
    <row r="50" hidden="1" spans="1:19" x14ac:dyDescent="0.25">
      <c r="A50" s="129"/>
      <c r="B50" s="109" t="s">
        <v>523</v>
      </c>
      <c r="C50" s="153">
        <f>SUM(D50:F50)</f>
        <v>0</v>
      </c>
      <c r="D50" s="186">
        <f>+SALDOS!C142</f>
      </c>
      <c r="E50" s="186">
        <v>0</v>
      </c>
      <c r="F50" s="187">
        <v>0</v>
      </c>
      <c r="G50" s="188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</row>
    <row r="51" spans="1:19" x14ac:dyDescent="0.25">
      <c r="A51" s="129"/>
      <c r="B51" s="109" t="s">
        <v>524</v>
      </c>
      <c r="C51" s="153">
        <f>SUM(D51:F51)</f>
        <v>18657.100000000002</v>
      </c>
      <c r="D51" s="186">
        <f>+SALDOS!C155</f>
        <v>18657.100000000002</v>
      </c>
      <c r="E51" s="186">
        <v>0</v>
      </c>
      <c r="F51" s="187">
        <v>0</v>
      </c>
      <c r="G51" s="188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</row>
    <row r="52" hidden="1" spans="1:19" x14ac:dyDescent="0.25">
      <c r="A52" s="129"/>
      <c r="B52" s="109" t="s">
        <v>525</v>
      </c>
      <c r="C52" s="153">
        <f>SUM(D52:F52)</f>
        <v>0</v>
      </c>
      <c r="D52" s="186">
        <v>0</v>
      </c>
      <c r="E52" s="186">
        <f>+SALDOS!C184-SALDOS!D184</f>
      </c>
      <c r="F52" s="187">
        <v>0</v>
      </c>
      <c r="G52" s="188"/>
      <c r="H52" s="63"/>
      <c r="I52" s="195" t="s">
        <v>526</v>
      </c>
      <c r="J52" s="192">
        <v>1949.3366666666668</v>
      </c>
      <c r="K52" s="192">
        <v>1949.3366666666668</v>
      </c>
      <c r="L52" s="192">
        <v>1949.3366666666668</v>
      </c>
      <c r="M52" s="191"/>
      <c r="N52" s="192"/>
      <c r="O52" s="191"/>
      <c r="P52" s="191"/>
      <c r="Q52" s="196"/>
      <c r="R52" s="63"/>
      <c r="S52" s="63"/>
    </row>
    <row r="53" hidden="1" spans="1:19" x14ac:dyDescent="0.25">
      <c r="A53" s="129"/>
      <c r="B53" s="109" t="s">
        <v>527</v>
      </c>
      <c r="C53" s="153">
        <f>SUM(D53:F53)</f>
        <v>0</v>
      </c>
      <c r="D53" s="186">
        <v>0</v>
      </c>
      <c r="E53" s="186">
        <f>+SALDOS!C127-SALDOS!D127</f>
      </c>
      <c r="F53" s="187">
        <v>0</v>
      </c>
      <c r="G53" s="188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</row>
    <row r="54" hidden="1" spans="1:19" x14ac:dyDescent="0.25">
      <c r="A54" s="129"/>
      <c r="B54" s="109" t="s">
        <v>528</v>
      </c>
      <c r="C54" s="153">
        <f>SUM(D54:F54)</f>
        <v>0</v>
      </c>
      <c r="D54" s="186">
        <v>0</v>
      </c>
      <c r="E54" s="186">
        <v>0</v>
      </c>
      <c r="F54" s="187">
        <v>0</v>
      </c>
      <c r="G54" s="188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</row>
    <row r="55" hidden="1" spans="1:19" x14ac:dyDescent="0.25">
      <c r="A55" s="129"/>
      <c r="B55" s="109" t="s">
        <v>529</v>
      </c>
      <c r="C55" s="153">
        <f>SUM(D55:F55)</f>
        <v>0</v>
      </c>
      <c r="D55" s="186">
        <v>0</v>
      </c>
      <c r="E55" s="186">
        <f>+SALDOS!C208</f>
      </c>
      <c r="F55" s="187">
        <v>0</v>
      </c>
      <c r="G55" s="188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</row>
    <row r="56" hidden="1" spans="1:19" x14ac:dyDescent="0.25">
      <c r="A56" s="129"/>
      <c r="B56" s="109" t="s">
        <v>530</v>
      </c>
      <c r="C56" s="153">
        <f>SUM(D56:F56)</f>
        <v>0</v>
      </c>
      <c r="D56" s="186">
        <f>+SALDOS!C139</f>
      </c>
      <c r="E56" s="186">
        <v>0</v>
      </c>
      <c r="F56" s="187">
        <v>0</v>
      </c>
      <c r="G56" s="188"/>
      <c r="H56" s="63" t="s">
        <v>531</v>
      </c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hidden="1" spans="1:19" x14ac:dyDescent="0.25">
      <c r="A57" s="129"/>
      <c r="B57" s="109" t="s">
        <v>532</v>
      </c>
      <c r="C57" s="153">
        <f>SUM(D57:F57)</f>
        <v>0</v>
      </c>
      <c r="D57" s="186">
        <f>+SALDOS!C135</f>
      </c>
      <c r="E57" s="186">
        <v>0</v>
      </c>
      <c r="F57" s="187">
        <v>0</v>
      </c>
      <c r="G57" s="188"/>
      <c r="H57" s="63" t="s">
        <v>533</v>
      </c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</row>
    <row r="58" spans="1:19" x14ac:dyDescent="0.25">
      <c r="A58" s="129"/>
      <c r="B58" s="109" t="s">
        <v>534</v>
      </c>
      <c r="C58" s="153">
        <f>SUM(D58:F58)</f>
        <v>1030.3</v>
      </c>
      <c r="D58" s="186">
        <f>+SALDOS!C177</f>
        <v>1030.3</v>
      </c>
      <c r="E58" s="186">
        <v>0</v>
      </c>
      <c r="F58" s="187">
        <v>0</v>
      </c>
      <c r="G58" s="188"/>
      <c r="H58" s="63"/>
      <c r="I58" s="195" t="s">
        <v>535</v>
      </c>
      <c r="J58" s="192">
        <f>+C56</f>
        <v>0</v>
      </c>
      <c r="K58" s="192">
        <f>+C58</f>
        <v>1030.3</v>
      </c>
      <c r="L58" s="192"/>
      <c r="M58" s="192"/>
      <c r="N58" s="192"/>
      <c r="O58" s="193"/>
      <c r="P58" s="192">
        <f>+C44</f>
        <v>2084.42</v>
      </c>
      <c r="Q58" s="196"/>
      <c r="R58" s="63"/>
      <c r="S58" s="63"/>
    </row>
    <row r="59" hidden="1" spans="1:19" x14ac:dyDescent="0.25">
      <c r="A59" s="129"/>
      <c r="B59" s="109" t="s">
        <v>536</v>
      </c>
      <c r="C59" s="153">
        <f>SUM(D59:F59)</f>
        <v>0</v>
      </c>
      <c r="D59" s="186">
        <v>0</v>
      </c>
      <c r="E59" s="186">
        <f>+SALDOS!C147-SALDOS!D147</f>
      </c>
      <c r="F59" s="187">
        <v>0</v>
      </c>
      <c r="G59" s="188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</row>
    <row r="60" hidden="1" spans="1:19" x14ac:dyDescent="0.25">
      <c r="A60" s="129"/>
      <c r="B60" s="109" t="s">
        <v>484</v>
      </c>
      <c r="C60" s="153">
        <f>SUM(D60:F60)</f>
        <v>0</v>
      </c>
      <c r="D60" s="186">
        <v>0</v>
      </c>
      <c r="E60" s="186">
        <f>+SALDOS!C207</f>
      </c>
      <c r="F60" s="187">
        <v>0</v>
      </c>
      <c r="G60" s="188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</row>
    <row r="61" spans="1:19" x14ac:dyDescent="0.25">
      <c r="A61" s="129"/>
      <c r="B61" s="109" t="s">
        <v>537</v>
      </c>
      <c r="C61" s="153">
        <f>SUM(D61:F61)</f>
        <v>5860.59</v>
      </c>
      <c r="D61" s="186">
        <v>0</v>
      </c>
      <c r="E61" s="186">
        <v>0</v>
      </c>
      <c r="F61" s="202">
        <f>-SALDOS!D209+SALDOS!C209+SALDOS!C220</f>
        <v>5860.59</v>
      </c>
      <c r="G61" s="188"/>
      <c r="H61" s="63"/>
      <c r="I61" s="195" t="s">
        <v>538</v>
      </c>
      <c r="J61" s="192">
        <f>+C61</f>
        <v>5860.59</v>
      </c>
      <c r="K61" s="192"/>
      <c r="L61" s="192"/>
      <c r="M61" s="191"/>
      <c r="N61" s="192"/>
      <c r="O61" s="191"/>
      <c r="P61" s="191"/>
      <c r="Q61" s="203"/>
      <c r="R61" s="63"/>
      <c r="S61" s="63"/>
    </row>
    <row r="62" hidden="1" spans="1:19" x14ac:dyDescent="0.25">
      <c r="A62" s="129"/>
      <c r="B62" s="109" t="s">
        <v>539</v>
      </c>
      <c r="C62" s="153">
        <f>SUM(D62:F62)</f>
        <v>0</v>
      </c>
      <c r="D62" s="186">
        <f>+SALDOS!C138-SALDOS!D138</f>
      </c>
      <c r="E62" s="186">
        <v>0</v>
      </c>
      <c r="F62" s="187">
        <v>0</v>
      </c>
      <c r="G62" s="188"/>
      <c r="H62" s="63"/>
      <c r="I62" s="63"/>
      <c r="J62" s="105"/>
      <c r="K62" s="105"/>
      <c r="L62" s="105"/>
      <c r="M62" s="63"/>
      <c r="N62" s="105"/>
      <c r="O62" s="63"/>
      <c r="P62" s="63"/>
      <c r="Q62" s="105"/>
      <c r="R62" s="63"/>
      <c r="S62" s="63"/>
    </row>
    <row r="63" hidden="1" spans="1:19" x14ac:dyDescent="0.25">
      <c r="A63" s="129"/>
      <c r="B63" s="109" t="s">
        <v>540</v>
      </c>
      <c r="C63" s="153">
        <f>SUM(D63:F63)</f>
        <v>0</v>
      </c>
      <c r="D63" s="186">
        <f>+SALDOS!C159-SALDOS!D159</f>
      </c>
      <c r="E63" s="186">
        <v>0</v>
      </c>
      <c r="F63" s="187">
        <v>0</v>
      </c>
      <c r="G63" s="188"/>
      <c r="H63" s="63"/>
      <c r="I63" s="63"/>
      <c r="J63" s="105"/>
      <c r="K63" s="105"/>
      <c r="L63" s="105"/>
      <c r="M63" s="63"/>
      <c r="N63" s="105"/>
      <c r="O63" s="63"/>
      <c r="P63" s="63"/>
      <c r="Q63" s="105"/>
      <c r="R63" s="63"/>
      <c r="S63" s="63"/>
    </row>
    <row r="64" hidden="1" spans="1:19" x14ac:dyDescent="0.25">
      <c r="A64" s="129"/>
      <c r="B64" s="109" t="s">
        <v>541</v>
      </c>
      <c r="C64" s="153">
        <f>SUM(D64:F64)</f>
        <v>0</v>
      </c>
      <c r="D64" s="186">
        <f>+SALDOS!C160</f>
      </c>
      <c r="E64" s="186">
        <v>0</v>
      </c>
      <c r="F64" s="187">
        <v>0</v>
      </c>
      <c r="G64" s="188"/>
      <c r="H64" s="63"/>
      <c r="I64" s="63"/>
      <c r="J64" s="105"/>
      <c r="K64" s="105"/>
      <c r="L64" s="105"/>
      <c r="M64" s="63"/>
      <c r="N64" s="105"/>
      <c r="O64" s="63"/>
      <c r="P64" s="63"/>
      <c r="Q64" s="105"/>
      <c r="R64" s="63"/>
      <c r="S64" s="63"/>
    </row>
    <row r="65" hidden="1" spans="1:19" x14ac:dyDescent="0.25">
      <c r="A65" s="129"/>
      <c r="B65" s="109" t="s">
        <v>542</v>
      </c>
      <c r="C65" s="153">
        <f>SUM(D65:F65)</f>
        <v>0</v>
      </c>
      <c r="D65" s="186">
        <f>+SALDOS!C161</f>
      </c>
      <c r="E65" s="186">
        <v>0</v>
      </c>
      <c r="F65" s="187">
        <v>0</v>
      </c>
      <c r="G65" s="188"/>
      <c r="H65" s="63"/>
      <c r="I65" s="63"/>
      <c r="J65" s="105"/>
      <c r="K65" s="105"/>
      <c r="L65" s="105"/>
      <c r="M65" s="63"/>
      <c r="N65" s="105"/>
      <c r="O65" s="63"/>
      <c r="P65" s="63"/>
      <c r="Q65" s="105"/>
      <c r="R65" s="63"/>
      <c r="S65" s="63"/>
    </row>
    <row r="66" hidden="1" spans="1:19" x14ac:dyDescent="0.25">
      <c r="A66" s="129"/>
      <c r="B66" s="109" t="s">
        <v>543</v>
      </c>
      <c r="C66" s="153">
        <f>SUM(D66:F66)</f>
        <v>0</v>
      </c>
      <c r="D66" s="186">
        <v>0</v>
      </c>
      <c r="E66" s="186">
        <f>+SALDOS!C140</f>
      </c>
      <c r="F66" s="187">
        <v>0</v>
      </c>
      <c r="G66" s="188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</row>
    <row r="67" spans="1:19" x14ac:dyDescent="0.25">
      <c r="A67" s="129"/>
      <c r="B67" s="109" t="s">
        <v>544</v>
      </c>
      <c r="C67" s="153">
        <f>SUM(D67:F67)</f>
        <v>15732.210000000001</v>
      </c>
      <c r="D67" s="186">
        <f>+SALDOS!C156+SALDOS!C130</f>
        <v>15732.210000000001</v>
      </c>
      <c r="E67" s="186">
        <v>0</v>
      </c>
      <c r="F67" s="187">
        <v>0</v>
      </c>
      <c r="G67" s="188"/>
      <c r="H67" s="63"/>
      <c r="I67" s="195" t="s">
        <v>545</v>
      </c>
      <c r="J67" s="192">
        <f>9400+850+550</f>
        <v>10800</v>
      </c>
      <c r="K67" s="192">
        <f>850+700</f>
        <v>1550</v>
      </c>
      <c r="L67" s="192"/>
      <c r="M67" s="191"/>
      <c r="N67" s="192"/>
      <c r="O67" s="191"/>
      <c r="P67" s="191"/>
      <c r="Q67" s="203"/>
      <c r="R67" s="63"/>
      <c r="S67" s="63"/>
    </row>
    <row r="68" hidden="1" spans="1:19" x14ac:dyDescent="0.25">
      <c r="A68" s="129"/>
      <c r="B68" s="109" t="s">
        <v>546</v>
      </c>
      <c r="C68" s="153">
        <f>SUM(D68:F68)</f>
        <v>0</v>
      </c>
      <c r="D68" s="186">
        <v>0</v>
      </c>
      <c r="E68" s="186">
        <f>-SALDOS!D156</f>
      </c>
      <c r="F68" s="187">
        <v>0</v>
      </c>
      <c r="G68" s="188"/>
      <c r="H68" s="63"/>
      <c r="I68" s="63"/>
      <c r="J68" s="105"/>
      <c r="K68" s="105"/>
      <c r="L68" s="105"/>
      <c r="M68" s="63"/>
      <c r="N68" s="105"/>
      <c r="O68" s="63"/>
      <c r="P68" s="63"/>
      <c r="Q68" s="105"/>
      <c r="R68" s="63"/>
      <c r="S68" s="63"/>
    </row>
    <row r="69" hidden="1" spans="1:19" x14ac:dyDescent="0.25">
      <c r="A69" s="129"/>
      <c r="B69" s="109" t="s">
        <v>547</v>
      </c>
      <c r="C69" s="153">
        <f>SUM(D69:F69)</f>
        <v>0</v>
      </c>
      <c r="D69" s="186">
        <v>0</v>
      </c>
      <c r="E69" s="186">
        <v>0</v>
      </c>
      <c r="F69" s="187">
        <v>0</v>
      </c>
      <c r="G69" s="188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</row>
    <row r="70" hidden="1" spans="1:19" x14ac:dyDescent="0.25">
      <c r="A70" s="129"/>
      <c r="B70" s="109" t="s">
        <v>548</v>
      </c>
      <c r="C70" s="153">
        <f>SUM(D70:F70)</f>
        <v>0</v>
      </c>
      <c r="D70" s="186">
        <v>0</v>
      </c>
      <c r="E70" s="186">
        <v>0</v>
      </c>
      <c r="F70" s="187">
        <f>+SALDOS!C210</f>
      </c>
      <c r="G70" s="188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</row>
    <row r="71" hidden="1" spans="1:19" x14ac:dyDescent="0.25">
      <c r="A71" s="129"/>
      <c r="B71" s="109" t="s">
        <v>549</v>
      </c>
      <c r="C71" s="153">
        <f>SUM(D71:F71)</f>
        <v>0</v>
      </c>
      <c r="D71" s="186">
        <v>0</v>
      </c>
      <c r="E71" s="186">
        <v>0</v>
      </c>
      <c r="F71" s="187">
        <v>0</v>
      </c>
      <c r="G71" s="188"/>
      <c r="H71" s="63"/>
      <c r="I71" s="195" t="s">
        <v>550</v>
      </c>
      <c r="J71" s="192">
        <f>+$C$19/3+C71</f>
        <v>83.89333333333333</v>
      </c>
      <c r="K71" s="192">
        <f>+$C$19/3</f>
        <v>83.89333333333333</v>
      </c>
      <c r="L71" s="192">
        <f>+$C$19/3</f>
        <v>83.89333333333333</v>
      </c>
      <c r="M71" s="191"/>
      <c r="N71" s="192"/>
      <c r="O71" s="191"/>
      <c r="P71" s="191"/>
      <c r="Q71" s="196"/>
      <c r="R71" s="63"/>
      <c r="S71" s="63"/>
    </row>
    <row r="72" spans="1:19" x14ac:dyDescent="0.25">
      <c r="A72" s="129"/>
      <c r="B72" s="109" t="s">
        <v>551</v>
      </c>
      <c r="C72" s="153">
        <f>SUM(D72:F72)</f>
        <v>61.24</v>
      </c>
      <c r="D72" s="186">
        <f>-SALDOS!D212</f>
      </c>
      <c r="E72" s="186">
        <v>0</v>
      </c>
      <c r="F72" s="202">
        <f>+SALDOS!C221</f>
        <v>61.24</v>
      </c>
      <c r="G72" s="188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</row>
    <row r="73" hidden="1" spans="1:19" x14ac:dyDescent="0.25">
      <c r="A73" s="129"/>
      <c r="B73" s="109" t="s">
        <v>552</v>
      </c>
      <c r="C73" s="153">
        <f>SUM(D73:F73)</f>
        <v>0</v>
      </c>
      <c r="D73" s="186">
        <v>0</v>
      </c>
      <c r="E73" s="186">
        <v>0</v>
      </c>
      <c r="F73" s="202">
        <f>+SALDOS!C214</f>
      </c>
      <c r="G73" s="188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</row>
    <row r="74" hidden="1" spans="1:19" x14ac:dyDescent="0.25">
      <c r="A74" s="129"/>
      <c r="B74" s="109" t="s">
        <v>553</v>
      </c>
      <c r="C74" s="153">
        <f>SUM(D74:F74)</f>
        <v>0</v>
      </c>
      <c r="D74" s="186">
        <v>0</v>
      </c>
      <c r="E74" s="186">
        <v>0</v>
      </c>
      <c r="F74" s="202">
        <f>+SALDOS!C215</f>
      </c>
      <c r="G74" s="188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</row>
    <row r="75" hidden="1" spans="1:19" x14ac:dyDescent="0.25">
      <c r="A75" s="129"/>
      <c r="B75" s="109" t="s">
        <v>554</v>
      </c>
      <c r="C75" s="153">
        <f>SUM(D75:F75)</f>
        <v>0</v>
      </c>
      <c r="D75" s="186">
        <f>+SALDOS!C201</f>
      </c>
      <c r="E75" s="186">
        <v>0</v>
      </c>
      <c r="F75" s="202">
        <v>0</v>
      </c>
      <c r="G75" s="188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</row>
    <row r="76" hidden="1" spans="1:19" x14ac:dyDescent="0.25">
      <c r="A76" s="129"/>
      <c r="B76" s="109" t="s">
        <v>493</v>
      </c>
      <c r="C76" s="153">
        <f>SUM(D76:F76)</f>
        <v>0</v>
      </c>
      <c r="D76" s="186">
        <f>+SALDOS!C131</f>
      </c>
      <c r="E76" s="186">
        <v>0</v>
      </c>
      <c r="F76" s="202">
        <v>0</v>
      </c>
      <c r="G76" s="188"/>
      <c r="H76" s="63"/>
      <c r="I76" s="195" t="s">
        <v>555</v>
      </c>
      <c r="J76" s="192">
        <f>213.333333333333+500</f>
        <v>713.333333333333</v>
      </c>
      <c r="K76" s="192">
        <f>213.333333333333+500</f>
        <v>713.333333333333</v>
      </c>
      <c r="L76" s="192">
        <f>213.333333333333+17.55</f>
        <v>230.883333333333</v>
      </c>
      <c r="M76" s="191"/>
      <c r="N76" s="192"/>
      <c r="O76" s="191"/>
      <c r="P76" s="191"/>
      <c r="Q76" s="196"/>
      <c r="R76" s="63" t="s">
        <v>556</v>
      </c>
      <c r="S76" s="63"/>
    </row>
    <row r="77" hidden="1" spans="1:19" x14ac:dyDescent="0.25">
      <c r="A77" s="129"/>
      <c r="B77" s="109" t="s">
        <v>557</v>
      </c>
      <c r="C77" s="153">
        <f>SUM(D77:F77)</f>
        <v>0</v>
      </c>
      <c r="D77" s="186">
        <f>+SALDOS!C146</f>
      </c>
      <c r="E77" s="186">
        <v>0</v>
      </c>
      <c r="F77" s="202">
        <v>0</v>
      </c>
      <c r="G77" s="188"/>
      <c r="H77" s="63"/>
      <c r="I77" s="191" t="s">
        <v>558</v>
      </c>
      <c r="J77" s="192">
        <v>270</v>
      </c>
      <c r="K77" s="192"/>
      <c r="L77" s="192"/>
      <c r="M77" s="191"/>
      <c r="N77" s="192"/>
      <c r="O77" s="191"/>
      <c r="P77" s="191"/>
      <c r="Q77" s="192"/>
      <c r="R77" s="63"/>
      <c r="S77" s="63"/>
    </row>
    <row r="78" hidden="1" spans="1:19" x14ac:dyDescent="0.25">
      <c r="A78" s="129"/>
      <c r="B78" s="109" t="s">
        <v>559</v>
      </c>
      <c r="C78" s="153">
        <f>SUM(D78:F78)</f>
        <v>0</v>
      </c>
      <c r="D78" s="186">
        <v>0</v>
      </c>
      <c r="E78" s="186">
        <f>+SALDOS!C167-SALDOS!D167</f>
      </c>
      <c r="F78" s="202">
        <v>0</v>
      </c>
      <c r="G78" s="188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</row>
    <row r="79" hidden="1" spans="1:19" x14ac:dyDescent="0.25">
      <c r="A79" s="129"/>
      <c r="B79" s="109" t="s">
        <v>560</v>
      </c>
      <c r="C79" s="153">
        <f>SUM(D79:F79)</f>
        <v>0</v>
      </c>
      <c r="D79" s="186">
        <v>0</v>
      </c>
      <c r="E79" s="186">
        <f>+SALDOS!C196</f>
      </c>
      <c r="F79" s="202">
        <v>0</v>
      </c>
      <c r="G79" s="188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</row>
    <row r="80" spans="1:19" x14ac:dyDescent="0.25">
      <c r="A80" s="129"/>
      <c r="B80" s="109" t="s">
        <v>561</v>
      </c>
      <c r="C80" s="153">
        <f>SUM(D80:F80)</f>
        <v>1776.98</v>
      </c>
      <c r="D80" s="186">
        <v>0</v>
      </c>
      <c r="E80" s="186">
        <f>+SALDOS!C145</f>
        <v>1776.98</v>
      </c>
      <c r="F80" s="202">
        <v>0</v>
      </c>
      <c r="G80" s="188"/>
      <c r="H80" s="63"/>
      <c r="I80" s="191" t="s">
        <v>562</v>
      </c>
      <c r="J80" s="192">
        <f>+C57</f>
        <v>0</v>
      </c>
      <c r="K80" s="192">
        <v>250</v>
      </c>
      <c r="L80" s="192">
        <f>595-250</f>
        <v>345</v>
      </c>
      <c r="M80" s="191"/>
      <c r="N80" s="192"/>
      <c r="O80" s="191"/>
      <c r="P80" s="191"/>
      <c r="Q80" s="192"/>
      <c r="R80" s="63"/>
      <c r="S80" s="63"/>
    </row>
    <row r="81" hidden="1" spans="1:19" x14ac:dyDescent="0.25">
      <c r="A81" s="129"/>
      <c r="B81" s="109" t="s">
        <v>563</v>
      </c>
      <c r="C81" s="153">
        <f>SUM(D81:F81)</f>
        <v>0</v>
      </c>
      <c r="D81" s="186">
        <v>0</v>
      </c>
      <c r="E81" s="186">
        <f>+SALDOS!C170</f>
      </c>
      <c r="F81" s="202">
        <v>0</v>
      </c>
      <c r="G81" s="188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</row>
    <row r="82" hidden="1" spans="1:19" x14ac:dyDescent="0.25">
      <c r="A82" s="129"/>
      <c r="B82" s="109" t="s">
        <v>564</v>
      </c>
      <c r="C82" s="153">
        <f>SUM(D82:F82)</f>
        <v>0</v>
      </c>
      <c r="D82" s="186">
        <v>0</v>
      </c>
      <c r="E82" s="186">
        <v>0</v>
      </c>
      <c r="F82" s="202">
        <v>0</v>
      </c>
      <c r="G82" s="188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</row>
    <row r="83" hidden="1" spans="1:19" x14ac:dyDescent="0.25">
      <c r="A83" s="129"/>
      <c r="B83" s="109" t="s">
        <v>565</v>
      </c>
      <c r="C83" s="153">
        <f>SUM(D83:F83)</f>
        <v>0</v>
      </c>
      <c r="D83" s="186">
        <f>+SALDOS!C173</f>
      </c>
      <c r="E83" s="186">
        <v>0</v>
      </c>
      <c r="F83" s="202">
        <v>0</v>
      </c>
      <c r="G83" s="188"/>
      <c r="H83" s="63"/>
      <c r="I83" s="191" t="s">
        <v>566</v>
      </c>
      <c r="J83" s="192">
        <v>3500</v>
      </c>
      <c r="K83" s="192">
        <v>3500</v>
      </c>
      <c r="L83" s="192"/>
      <c r="M83" s="191"/>
      <c r="N83" s="192"/>
      <c r="O83" s="191"/>
      <c r="P83" s="191"/>
      <c r="Q83" s="192"/>
      <c r="R83" s="63"/>
      <c r="S83" s="63"/>
    </row>
    <row r="84" hidden="1" spans="1:19" x14ac:dyDescent="0.25">
      <c r="A84" s="129"/>
      <c r="B84" s="109" t="s">
        <v>567</v>
      </c>
      <c r="C84" s="153">
        <f>SUM(D84:F84)</f>
        <v>0</v>
      </c>
      <c r="D84" s="186">
        <v>0</v>
      </c>
      <c r="E84" s="186">
        <v>0</v>
      </c>
      <c r="F84" s="202">
        <v>0</v>
      </c>
      <c r="G84" s="188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</row>
    <row r="85" hidden="1" spans="1:19" x14ac:dyDescent="0.25">
      <c r="A85" s="129"/>
      <c r="B85" s="109" t="s">
        <v>568</v>
      </c>
      <c r="C85" s="153">
        <f>SUM(D85:F85)</f>
        <v>0</v>
      </c>
      <c r="D85" s="186">
        <f>+SALDOS!C128-SALDOS!D128</f>
      </c>
      <c r="E85" s="186">
        <v>0</v>
      </c>
      <c r="F85" s="202">
        <v>0</v>
      </c>
      <c r="G85" s="188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</row>
    <row r="86" spans="1:19" x14ac:dyDescent="0.25">
      <c r="A86" s="129"/>
      <c r="B86" s="109" t="s">
        <v>569</v>
      </c>
      <c r="C86" s="153">
        <f>SUM(D86:F86)</f>
        <v>3033.18</v>
      </c>
      <c r="D86" s="186">
        <v>0</v>
      </c>
      <c r="E86" s="186">
        <f>+SALDOS!C183-SALDOS!D183</f>
        <v>3033.18</v>
      </c>
      <c r="F86" s="202">
        <v>0</v>
      </c>
      <c r="G86" s="188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</row>
    <row r="87" hidden="1" spans="1:19" x14ac:dyDescent="0.25">
      <c r="A87" s="129"/>
      <c r="B87" s="109" t="s">
        <v>532</v>
      </c>
      <c r="C87" s="153">
        <f>SUM(D87:F87)</f>
        <v>0</v>
      </c>
      <c r="D87" s="186">
        <f>-SALDOS!D135</f>
      </c>
      <c r="E87" s="186">
        <v>0</v>
      </c>
      <c r="F87" s="202">
        <v>0</v>
      </c>
      <c r="G87" s="188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</row>
    <row r="88" spans="1:19" x14ac:dyDescent="0.25">
      <c r="A88" s="129"/>
      <c r="B88" s="109" t="s">
        <v>570</v>
      </c>
      <c r="C88" s="153">
        <f>SUM(D88:F88)</f>
        <v>-5088.91</v>
      </c>
      <c r="D88" s="186">
        <v>0</v>
      </c>
      <c r="E88" s="186">
        <f>+SALDOS!C185-SALDOS!D185</f>
        <v>-5088.91</v>
      </c>
      <c r="F88" s="202">
        <v>0</v>
      </c>
      <c r="G88" s="188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 hidden="1" spans="1:19" x14ac:dyDescent="0.25">
      <c r="A89" s="129"/>
      <c r="B89" s="109" t="s">
        <v>571</v>
      </c>
      <c r="C89" s="153">
        <f>SUM(D89:F89)</f>
        <v>0</v>
      </c>
      <c r="D89" s="186">
        <v>0</v>
      </c>
      <c r="E89" s="186">
        <f>+SALDOS!C198</f>
      </c>
      <c r="F89" s="202">
        <v>0</v>
      </c>
      <c r="G89" s="188"/>
      <c r="H89" s="63"/>
      <c r="I89" s="191" t="s">
        <v>572</v>
      </c>
      <c r="J89" s="192">
        <v>546.19</v>
      </c>
      <c r="K89" s="192">
        <f>723.69-546.19</f>
        <v>177.5</v>
      </c>
      <c r="L89" s="192"/>
      <c r="M89" s="191"/>
      <c r="N89" s="192"/>
      <c r="O89" s="191"/>
      <c r="P89" s="191"/>
      <c r="Q89" s="192"/>
      <c r="R89" s="63" t="s">
        <v>573</v>
      </c>
      <c r="S89" s="63"/>
    </row>
    <row r="90" spans="1:19" x14ac:dyDescent="0.25">
      <c r="A90" s="129"/>
      <c r="B90" s="109" t="s">
        <v>574</v>
      </c>
      <c r="C90" s="153">
        <f>SUM(D90:F90)</f>
        <v>-89628.1</v>
      </c>
      <c r="D90" s="186">
        <v>0</v>
      </c>
      <c r="E90" s="186">
        <f>+SALDOS!C174-SALDOS!D174</f>
        <v>-89628.1</v>
      </c>
      <c r="F90" s="202">
        <v>0</v>
      </c>
      <c r="G90" s="188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</row>
    <row r="91" ht="13.8" customHeight="1" spans="1:19" x14ac:dyDescent="0.25">
      <c r="A91" s="129"/>
      <c r="B91" s="109" t="s">
        <v>575</v>
      </c>
      <c r="C91" s="153">
        <f>SUM(D91:F91)</f>
        <v>27617.54</v>
      </c>
      <c r="D91" s="186">
        <v>0</v>
      </c>
      <c r="E91" s="186">
        <f>+SALDOS!C143-SALDOS!D143</f>
        <v>27617.54</v>
      </c>
      <c r="F91" s="202">
        <v>0</v>
      </c>
      <c r="G91" s="188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</row>
    <row r="92" hidden="1" spans="1:19" x14ac:dyDescent="0.25">
      <c r="A92" s="129"/>
      <c r="B92" s="109" t="s">
        <v>576</v>
      </c>
      <c r="C92" s="153">
        <f>SUM(D92:F92)</f>
        <v>0</v>
      </c>
      <c r="D92" s="186">
        <f>+SALDOS!C179</f>
      </c>
      <c r="E92" s="186">
        <v>0</v>
      </c>
      <c r="F92" s="202">
        <v>0</v>
      </c>
      <c r="G92" s="188"/>
      <c r="H92" s="63"/>
      <c r="I92" s="191" t="s">
        <v>577</v>
      </c>
      <c r="J92" s="192"/>
      <c r="K92" s="192">
        <f>37+14+36.5+E81+88</f>
        <v>175.5</v>
      </c>
      <c r="L92" s="192">
        <f>302.7-37+63</f>
        <v>328.7</v>
      </c>
      <c r="M92" s="191"/>
      <c r="N92" s="192"/>
      <c r="O92" s="191"/>
      <c r="P92" s="191"/>
      <c r="Q92" s="192"/>
      <c r="R92" s="63"/>
      <c r="S92" s="63"/>
    </row>
    <row r="93" ht="13.8" customHeight="1" hidden="1" spans="1:19" x14ac:dyDescent="0.25">
      <c r="A93" s="129"/>
      <c r="B93" s="109" t="s">
        <v>578</v>
      </c>
      <c r="C93" s="153">
        <f>SUM(D93:F93)</f>
        <v>0</v>
      </c>
      <c r="D93" s="186">
        <v>0</v>
      </c>
      <c r="E93" s="186">
        <f>+SALDOS!C195</f>
      </c>
      <c r="F93" s="202">
        <v>0</v>
      </c>
      <c r="G93" s="188"/>
      <c r="H93" s="63"/>
      <c r="I93" s="63"/>
      <c r="J93" s="63"/>
      <c r="K93" s="105"/>
      <c r="L93" s="63"/>
      <c r="M93" s="63"/>
      <c r="N93" s="63"/>
      <c r="O93" s="63"/>
      <c r="P93" s="63"/>
      <c r="Q93" s="63"/>
      <c r="R93" s="63"/>
      <c r="S93" s="63"/>
    </row>
    <row r="94" spans="1:19" x14ac:dyDescent="0.25">
      <c r="A94" s="129"/>
      <c r="B94" s="109" t="s">
        <v>579</v>
      </c>
      <c r="C94" s="153">
        <f>SUM(D94:F94)</f>
        <v>37882.9</v>
      </c>
      <c r="D94" s="186">
        <v>0</v>
      </c>
      <c r="E94" s="186">
        <f>+SALDOS!C165-SALDOS!D165</f>
        <v>37882.9</v>
      </c>
      <c r="F94" s="202">
        <v>0</v>
      </c>
      <c r="G94" s="188"/>
      <c r="H94" s="63"/>
      <c r="I94" s="176" t="s">
        <v>580</v>
      </c>
      <c r="J94" s="199"/>
      <c r="K94" s="200">
        <f>528.01-1.9</f>
        <v>526.11</v>
      </c>
      <c r="L94" s="200">
        <v>426.07</v>
      </c>
      <c r="M94" s="200">
        <v>59330.35</v>
      </c>
      <c r="N94" s="200"/>
      <c r="O94" s="199"/>
      <c r="P94" s="199"/>
      <c r="Q94" s="201"/>
      <c r="R94" s="63"/>
      <c r="S94" s="63"/>
    </row>
    <row r="95" hidden="1" spans="1:19" x14ac:dyDescent="0.25">
      <c r="A95" s="129"/>
      <c r="B95" s="109" t="s">
        <v>581</v>
      </c>
      <c r="C95" s="153">
        <f>SUM(D95:F95)</f>
        <v>0</v>
      </c>
      <c r="D95" s="186">
        <v>0</v>
      </c>
      <c r="E95" s="186">
        <f>+SALDOS!C178</f>
      </c>
      <c r="F95" s="202">
        <v>0</v>
      </c>
      <c r="G95" s="188"/>
      <c r="H95" s="63"/>
      <c r="I95" s="176" t="s">
        <v>582</v>
      </c>
      <c r="J95" s="199"/>
      <c r="K95" s="199"/>
      <c r="L95" s="199"/>
      <c r="M95" s="204">
        <f>+E88</f>
        <v>-5088.91</v>
      </c>
      <c r="N95" s="200"/>
      <c r="O95" s="200">
        <f>+C95</f>
        <v>0</v>
      </c>
      <c r="P95" s="199"/>
      <c r="Q95" s="201"/>
      <c r="R95" s="63"/>
      <c r="S95" s="63"/>
    </row>
    <row r="96" hidden="1" spans="1:19" x14ac:dyDescent="0.25">
      <c r="A96" s="129"/>
      <c r="B96" s="109" t="s">
        <v>583</v>
      </c>
      <c r="C96" s="153">
        <f>SUM(D96:F96)</f>
        <v>0</v>
      </c>
      <c r="D96" s="186">
        <f>+SALDOS!C141</f>
      </c>
      <c r="E96" s="186">
        <v>0</v>
      </c>
      <c r="F96" s="202">
        <v>0</v>
      </c>
      <c r="G96" s="188"/>
      <c r="H96" s="63"/>
      <c r="I96" s="191" t="s">
        <v>584</v>
      </c>
      <c r="J96" s="192">
        <v>240</v>
      </c>
      <c r="K96" s="192">
        <v>240</v>
      </c>
      <c r="L96" s="192"/>
      <c r="M96" s="191"/>
      <c r="N96" s="192"/>
      <c r="O96" s="191"/>
      <c r="P96" s="191"/>
      <c r="Q96" s="192"/>
      <c r="R96" s="63"/>
      <c r="S96" s="63"/>
    </row>
    <row r="97" hidden="1" spans="1:19" x14ac:dyDescent="0.25">
      <c r="A97" s="129"/>
      <c r="B97" s="109" t="s">
        <v>585</v>
      </c>
      <c r="C97" s="153">
        <f>SUM(D97:F97)</f>
        <v>0</v>
      </c>
      <c r="D97" s="186">
        <v>0</v>
      </c>
      <c r="E97" s="186">
        <f>+SALDOS!C205</f>
      </c>
      <c r="F97" s="202">
        <v>0</v>
      </c>
      <c r="G97" s="188"/>
      <c r="H97" s="63"/>
      <c r="I97" s="63"/>
      <c r="J97" s="105"/>
      <c r="K97" s="105"/>
      <c r="L97" s="105"/>
      <c r="M97" s="63"/>
      <c r="N97" s="105"/>
      <c r="O97" s="63"/>
      <c r="P97" s="63"/>
      <c r="Q97" s="105"/>
      <c r="R97" s="63"/>
      <c r="S97" s="63"/>
    </row>
    <row r="98" hidden="1" spans="1:19" x14ac:dyDescent="0.25">
      <c r="A98" s="129"/>
      <c r="B98" s="109" t="s">
        <v>586</v>
      </c>
      <c r="C98" s="153">
        <f>SUM(D98:F98)</f>
        <v>0</v>
      </c>
      <c r="D98" s="186">
        <f>+SALDOS!C162-SALDOS!D162</f>
      </c>
      <c r="E98" s="186">
        <v>0</v>
      </c>
      <c r="F98" s="202">
        <v>0</v>
      </c>
      <c r="G98" s="188"/>
      <c r="H98" s="63"/>
      <c r="I98" s="63"/>
      <c r="J98" s="105"/>
      <c r="K98" s="105"/>
      <c r="L98" s="105"/>
      <c r="M98" s="63"/>
      <c r="N98" s="105"/>
      <c r="O98" s="63"/>
      <c r="P98" s="63"/>
      <c r="Q98" s="105"/>
      <c r="R98" s="63"/>
      <c r="S98" s="63"/>
    </row>
    <row r="99" hidden="1" spans="1:19" x14ac:dyDescent="0.25">
      <c r="A99" s="129"/>
      <c r="B99" s="109" t="s">
        <v>587</v>
      </c>
      <c r="C99" s="153">
        <f>SUM(D99:F99)</f>
        <v>0</v>
      </c>
      <c r="D99" s="186">
        <v>0</v>
      </c>
      <c r="E99" s="186">
        <f>+SALDOS!C189</f>
      </c>
      <c r="F99" s="202">
        <v>0</v>
      </c>
      <c r="G99" s="188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</row>
    <row r="100" spans="1:19" x14ac:dyDescent="0.25">
      <c r="A100" s="129"/>
      <c r="B100" s="109" t="s">
        <v>482</v>
      </c>
      <c r="C100" s="153">
        <f>SUM(D100:F100)</f>
        <v>93970.96</v>
      </c>
      <c r="D100" s="186">
        <v>0</v>
      </c>
      <c r="E100" s="186">
        <f>+SALDOS!C129</f>
        <v>93970.96</v>
      </c>
      <c r="F100" s="202">
        <v>0</v>
      </c>
      <c r="G100" s="188"/>
      <c r="H100" s="63"/>
      <c r="I100" s="191" t="s">
        <v>588</v>
      </c>
      <c r="J100" s="192">
        <f>+E100*27%</f>
        <v>25372.159200000002</v>
      </c>
      <c r="K100" s="192">
        <f>+E100*39%</f>
        <v>36648.6744</v>
      </c>
      <c r="L100" s="192">
        <f>+E100*34%</f>
        <v>31950.126400000005</v>
      </c>
      <c r="M100" s="191"/>
      <c r="N100" s="192"/>
      <c r="O100" s="191"/>
      <c r="P100" s="191"/>
      <c r="Q100" s="192"/>
      <c r="R100" s="63" t="s">
        <v>589</v>
      </c>
      <c r="S100" s="63"/>
    </row>
    <row r="101" hidden="1" spans="1:19" x14ac:dyDescent="0.25">
      <c r="A101" s="129"/>
      <c r="B101" s="109" t="s">
        <v>590</v>
      </c>
      <c r="C101" s="153">
        <f>SUM(D101:F101)</f>
        <v>0</v>
      </c>
      <c r="D101" s="186">
        <v>0</v>
      </c>
      <c r="E101" s="186">
        <f>-SALDOS!D152</f>
      </c>
      <c r="F101" s="202">
        <v>0</v>
      </c>
      <c r="G101" s="188"/>
      <c r="H101" s="63"/>
      <c r="I101" s="63"/>
      <c r="J101" s="105"/>
      <c r="K101" s="105"/>
      <c r="L101" s="105"/>
      <c r="M101" s="63"/>
      <c r="N101" s="105"/>
      <c r="O101" s="63"/>
      <c r="P101" s="63"/>
      <c r="Q101" s="105"/>
      <c r="R101" s="63"/>
      <c r="S101" s="63"/>
    </row>
    <row r="102" hidden="1" spans="1:19" x14ac:dyDescent="0.25">
      <c r="A102" s="129"/>
      <c r="B102" s="109" t="s">
        <v>591</v>
      </c>
      <c r="C102" s="153">
        <f>SUM(D102:F102)</f>
        <v>0</v>
      </c>
      <c r="D102" s="186">
        <v>0</v>
      </c>
      <c r="E102" s="186">
        <f>+SALDOS!C206</f>
      </c>
      <c r="F102" s="202">
        <v>0</v>
      </c>
      <c r="G102" s="188"/>
      <c r="H102" s="63"/>
      <c r="I102" s="63"/>
      <c r="J102" s="105"/>
      <c r="K102" s="105"/>
      <c r="L102" s="105"/>
      <c r="M102" s="63"/>
      <c r="N102" s="105"/>
      <c r="O102" s="63"/>
      <c r="P102" s="63"/>
      <c r="Q102" s="105"/>
      <c r="R102" s="63"/>
      <c r="S102" s="63"/>
    </row>
    <row r="103" hidden="1" spans="1:19" x14ac:dyDescent="0.25">
      <c r="A103" s="129"/>
      <c r="B103" s="109" t="s">
        <v>592</v>
      </c>
      <c r="C103" s="153">
        <f>SUM(D103:F103)</f>
        <v>0</v>
      </c>
      <c r="D103" s="186">
        <v>0</v>
      </c>
      <c r="E103" s="186">
        <v>0</v>
      </c>
      <c r="F103" s="202">
        <v>0</v>
      </c>
      <c r="G103" s="188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</row>
    <row r="104" hidden="1" spans="1:19" x14ac:dyDescent="0.25">
      <c r="A104" s="129"/>
      <c r="B104" s="109" t="s">
        <v>593</v>
      </c>
      <c r="C104" s="153">
        <f>SUM(D104:F104)</f>
        <v>0</v>
      </c>
      <c r="D104" s="186">
        <v>0</v>
      </c>
      <c r="E104" s="186">
        <f>+SALDOS!C136-SALDOS!D136</f>
      </c>
      <c r="F104" s="202">
        <v>0</v>
      </c>
      <c r="G104" s="188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</row>
    <row r="105" hidden="1" spans="1:19" x14ac:dyDescent="0.25">
      <c r="A105" s="129"/>
      <c r="B105" s="109" t="s">
        <v>594</v>
      </c>
      <c r="C105" s="153">
        <f>SUM(D105:F105)</f>
        <v>0</v>
      </c>
      <c r="D105" s="186">
        <f>+SALDOS!C163</f>
      </c>
      <c r="E105" s="186">
        <v>0</v>
      </c>
      <c r="F105" s="202">
        <v>0</v>
      </c>
      <c r="G105" s="188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</row>
    <row r="106" ht="13.8" customHeight="1" hidden="1" spans="1:19" x14ac:dyDescent="0.25">
      <c r="A106" s="129"/>
      <c r="B106" s="205" t="s">
        <v>595</v>
      </c>
      <c r="C106" s="153">
        <f>SUM(D106:F106)</f>
        <v>0</v>
      </c>
      <c r="D106" s="186">
        <f>+SALDOS!C164</f>
      </c>
      <c r="E106" s="186">
        <f>+SALDOS!C218</f>
      </c>
      <c r="F106" s="202">
        <v>0</v>
      </c>
      <c r="G106" s="188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</row>
    <row r="107" spans="1:19" x14ac:dyDescent="0.25">
      <c r="A107" s="129"/>
      <c r="B107" s="109" t="s">
        <v>596</v>
      </c>
      <c r="C107" s="153">
        <f>SUM(D107:F107)</f>
        <v>33252.28</v>
      </c>
      <c r="D107" s="186">
        <v>0</v>
      </c>
      <c r="E107" s="186">
        <f>+SALDOS!C199-SALDOS!D199</f>
        <v>33252.28</v>
      </c>
      <c r="F107" s="187">
        <v>0</v>
      </c>
      <c r="G107" s="188"/>
      <c r="H107" s="63"/>
      <c r="I107" s="195" t="s">
        <v>597</v>
      </c>
      <c r="J107" s="192"/>
      <c r="K107" s="192"/>
      <c r="L107" s="192"/>
      <c r="M107" s="191"/>
      <c r="N107" s="192"/>
      <c r="O107" s="191"/>
      <c r="P107" s="192">
        <f>+E107</f>
        <v>33252.28</v>
      </c>
      <c r="Q107" s="196"/>
      <c r="R107" s="63" t="s">
        <v>598</v>
      </c>
      <c r="S107" s="63"/>
    </row>
    <row r="108" ht="13.8" customHeight="1" spans="1:19" x14ac:dyDescent="0.25">
      <c r="A108" s="206"/>
      <c r="B108" s="207" t="str">
        <f>+EEPN!B18</f>
        <v>Total al  31/7/26</v>
      </c>
      <c r="C108" s="208">
        <f>SUM(C9:C107)</f>
        <v>352160.15</v>
      </c>
      <c r="D108" s="208">
        <f>SUM(D9:D107)</f>
        <v>28817.340000000004</v>
      </c>
      <c r="E108" s="208">
        <f>SUM(E9:E107)</f>
        <v>317420.98</v>
      </c>
      <c r="F108" s="209">
        <f>SUM(F11:F107)</f>
        <v>5921.83</v>
      </c>
      <c r="G108" s="98" t="e">
        <f>SUM(#REF!)</f>
        <v>#REF!</v>
      </c>
      <c r="H108" s="63"/>
      <c r="I108" s="210">
        <f>SUM(J108:P108)-C108</f>
        <v>50427.21000000002</v>
      </c>
      <c r="J108" s="211">
        <f>SUM(J11:J107)</f>
        <v>66410.43738386879</v>
      </c>
      <c r="K108" s="211">
        <f>SUM(K11:K107)</f>
        <v>121995.24446091316</v>
      </c>
      <c r="L108" s="211">
        <f>SUM(L11:L107)</f>
        <v>72719.58815521805</v>
      </c>
      <c r="M108" s="211">
        <f>SUM(M11:M107)</f>
        <v>98573.38999999998</v>
      </c>
      <c r="N108" s="211">
        <f>SUM(N11:N107)</f>
        <v>0</v>
      </c>
      <c r="O108" s="211">
        <f>SUM(O11:O107)</f>
        <v>3180</v>
      </c>
      <c r="P108" s="211">
        <f>SUM(P11:P107)</f>
        <v>39708.7</v>
      </c>
      <c r="Q108" s="211">
        <f>SUM(Q11:Q107)</f>
        <v>0</v>
      </c>
      <c r="R108" s="63"/>
      <c r="S108" s="63"/>
    </row>
    <row r="109" ht="13.8" customHeight="1" hidden="1" spans="1:19" x14ac:dyDescent="0.25">
      <c r="A109" s="96"/>
      <c r="B109" s="99" t="s">
        <v>342</v>
      </c>
      <c r="C109" s="212"/>
      <c r="D109" s="212">
        <v>0</v>
      </c>
      <c r="E109" s="101">
        <v>0</v>
      </c>
      <c r="F109" s="213">
        <v>0</v>
      </c>
      <c r="G109" s="95">
        <f>SUM(D109:F109)</f>
        <v>0</v>
      </c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</row>
    <row r="110" spans="1:19" x14ac:dyDescent="0.25">
      <c r="A110" s="63"/>
      <c r="B110" s="63"/>
      <c r="C110" s="106"/>
      <c r="D110" s="106"/>
      <c r="E110" s="106"/>
      <c r="F110" s="106"/>
      <c r="G110" s="106"/>
      <c r="H110" s="63"/>
      <c r="I110" s="214" t="s">
        <v>599</v>
      </c>
      <c r="J110" s="214">
        <v>600</v>
      </c>
      <c r="K110" s="214">
        <v>200</v>
      </c>
      <c r="L110" s="214">
        <v>400</v>
      </c>
      <c r="M110" s="63"/>
      <c r="N110" s="63"/>
      <c r="O110" s="63"/>
      <c r="P110" s="63"/>
      <c r="Q110" s="63"/>
      <c r="R110" s="214" t="s">
        <v>600</v>
      </c>
      <c r="S110" s="63"/>
    </row>
    <row r="111" spans="1:19" x14ac:dyDescent="0.25">
      <c r="A111" s="63" t="s">
        <v>343</v>
      </c>
      <c r="B111" s="63"/>
      <c r="C111" s="63"/>
      <c r="D111" s="106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</row>
    <row r="112" spans="1:19" x14ac:dyDescent="0.25">
      <c r="A112" s="63" t="s">
        <v>344</v>
      </c>
      <c r="B112" s="63"/>
      <c r="C112" s="63"/>
      <c r="D112" s="63"/>
      <c r="E112" s="63"/>
      <c r="F112" s="104"/>
      <c r="G112" s="63"/>
      <c r="H112" s="63"/>
      <c r="I112" s="63" t="s">
        <v>601</v>
      </c>
      <c r="J112" s="105">
        <f>J108/J110</f>
        <v>110.68406230644798</v>
      </c>
      <c r="K112" s="105">
        <f>K108/K110</f>
        <v>609.9762223045658</v>
      </c>
      <c r="L112" s="105">
        <f>L108/L110</f>
        <v>181.79897038804512</v>
      </c>
      <c r="M112" s="63"/>
      <c r="N112" s="63"/>
      <c r="O112" s="63"/>
      <c r="P112" s="63"/>
      <c r="Q112" s="63"/>
      <c r="R112" s="63"/>
      <c r="S112" s="63"/>
    </row>
    <row r="113" spans="1:19" x14ac:dyDescent="0.25">
      <c r="A113" s="63"/>
      <c r="B113" s="63"/>
      <c r="C113" s="63"/>
      <c r="D113" s="63"/>
      <c r="E113" s="104"/>
      <c r="F113" s="104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</row>
    <row r="114" spans="1:19" x14ac:dyDescent="0.25">
      <c r="A114" s="63"/>
      <c r="B114" s="175"/>
      <c r="C114" s="63"/>
      <c r="D114" s="73"/>
      <c r="E114" s="104"/>
      <c r="F114" s="63"/>
      <c r="G114" s="63"/>
      <c r="H114" s="104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</row>
    <row r="115" spans="1:19" x14ac:dyDescent="0.25">
      <c r="A115" s="63"/>
      <c r="B115" s="63"/>
      <c r="C115" s="104"/>
      <c r="D115" s="63"/>
      <c r="E115" s="63"/>
      <c r="F115" s="104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</row>
    <row r="116" spans="1:19" x14ac:dyDescent="0.25">
      <c r="A116" s="63"/>
      <c r="B116" s="63"/>
      <c r="C116" s="63"/>
      <c r="D116" s="105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</row>
    <row r="117" spans="1:19" x14ac:dyDescent="0.25">
      <c r="A117" s="63"/>
      <c r="B117" s="63"/>
      <c r="C117" s="63"/>
      <c r="D117" s="105"/>
      <c r="E117" s="63"/>
      <c r="F117" s="104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</row>
    <row r="118" spans="1:19" x14ac:dyDescent="0.25">
      <c r="A118" s="63"/>
      <c r="B118" s="63"/>
      <c r="C118" s="73"/>
      <c r="D118" s="105"/>
      <c r="E118" s="63"/>
      <c r="F118" s="7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</row>
    <row r="119" spans="1:19" x14ac:dyDescent="0.25">
      <c r="A119" s="63"/>
      <c r="B119" s="63"/>
      <c r="C119" s="73"/>
      <c r="D119" s="105"/>
      <c r="E119" s="63"/>
      <c r="F119" s="7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</row>
    <row r="120" spans="1:19" x14ac:dyDescent="0.25">
      <c r="A120" s="63"/>
      <c r="B120" s="63"/>
      <c r="C120" s="215"/>
      <c r="D120" s="105"/>
      <c r="E120" s="63"/>
      <c r="F120" s="7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</row>
    <row r="121" spans="1:19" x14ac:dyDescent="0.25">
      <c r="A121" s="63"/>
      <c r="B121" s="63"/>
      <c r="C121" s="105"/>
      <c r="D121" s="105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</row>
    <row r="122" spans="1:19" x14ac:dyDescent="0.25">
      <c r="A122" s="63"/>
      <c r="B122" s="63"/>
      <c r="C122" s="105"/>
      <c r="D122" s="105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</row>
    <row r="123" spans="1:19" x14ac:dyDescent="0.25">
      <c r="A123" s="63"/>
      <c r="B123" s="63"/>
      <c r="C123" s="105"/>
      <c r="D123" s="105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</row>
    <row r="124" spans="1:19" x14ac:dyDescent="0.25">
      <c r="A124" s="63"/>
      <c r="B124" s="63"/>
      <c r="C124" s="105"/>
      <c r="D124" s="105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</row>
    <row r="125" spans="1:19" x14ac:dyDescent="0.25">
      <c r="A125" s="63"/>
      <c r="B125" s="63"/>
      <c r="C125" s="105"/>
      <c r="D125" s="105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</row>
    <row r="126" spans="1:19" x14ac:dyDescent="0.2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</row>
    <row r="127" spans="1:19" x14ac:dyDescent="0.25">
      <c r="A127" s="63"/>
      <c r="B127" s="63"/>
      <c r="C127" s="63"/>
      <c r="D127" s="105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</row>
    <row r="128" spans="1:19" x14ac:dyDescent="0.2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</row>
    <row r="129" spans="1:19" x14ac:dyDescent="0.25">
      <c r="A129" s="63"/>
      <c r="B129" s="63"/>
      <c r="C129" s="63"/>
      <c r="D129" s="105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</sheetData>
  <mergeCells count="8">
    <mergeCell ref="J7:J8"/>
    <mergeCell ref="K7:K8"/>
    <mergeCell ref="L7:L8"/>
    <mergeCell ref="M7:M8"/>
    <mergeCell ref="N7:N8"/>
    <mergeCell ref="O7:O8"/>
    <mergeCell ref="P7:P8"/>
    <mergeCell ref="Q7:Q8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SALDOS</vt:lpstr>
      <vt:lpstr>EESP</vt:lpstr>
      <vt:lpstr>EERR</vt:lpstr>
      <vt:lpstr>EEPN</vt:lpstr>
      <vt:lpstr>Activo</vt:lpstr>
      <vt:lpstr>Pasivo</vt:lpstr>
      <vt:lpstr>Anexo I</vt:lpstr>
      <vt:lpstr>Anexo II</vt:lpstr>
    </vt:vector>
  </TitlesOfParts>
  <Company>Estudio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Roman Martin Justo</cp:lastModifiedBy>
  <cp:lastPrinted>2019-01-24T21:21:52Z</cp:lastPrinted>
  <dcterms:created xsi:type="dcterms:W3CDTF">2006-02-16T20:30:30Z</dcterms:created>
  <dcterms:modified xsi:type="dcterms:W3CDTF">2026-08-14T18:34:10Z</dcterms:modified>
</cp:coreProperties>
</file>