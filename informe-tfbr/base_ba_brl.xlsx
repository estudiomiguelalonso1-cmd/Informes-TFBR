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S" state="visible" r:id="rId4"/>
    <sheet sheetId="2" name="EESP" state="visible" r:id="rId5"/>
    <sheet sheetId="3" name="EERR" state="visible" r:id="rId6"/>
    <sheet sheetId="4" name="EEPN" state="visible" r:id="rId7"/>
    <sheet sheetId="5" name="Activo" state="visible" r:id="rId8"/>
    <sheet sheetId="6" name="Pasivo" state="visible" r:id="rId9"/>
    <sheet sheetId="7" name="Anexo I" state="visible" r:id="rId10"/>
    <sheet sheetId="8" name="Anexo II" state="visible" r:id="rId11"/>
    <sheet sheetId="9" name="Bienes" state="hidden" r:id="rId12"/>
  </sheets>
  <definedNames>
    <definedName name="_xlnm.Print_Area" localSheetId="0">'SALDOS'!$C29:$E45</definedName>
    <definedName name="_xlnm.Print_Area" localSheetId="4">'Activo'!$B7:$F49</definedName>
    <definedName name="_xlnm.Print_Area" localSheetId="5">'Pasivo'!$B4:$E34</definedName>
    <definedName name="_xlnm.Print_Area" localSheetId="8">'Bienes'!$A3:$F9</definedName>
  </definedNames>
  <calcPr calcId="171027"/>
</workbook>
</file>

<file path=xl/sharedStrings.xml><?xml version="1.0" encoding="utf-8"?>
<sst xmlns="http://schemas.openxmlformats.org/spreadsheetml/2006/main" count="639" uniqueCount="475">
  <si>
    <t>TRANSPORTES FURLONG S.A.</t>
  </si>
  <si>
    <t>Acumulado</t>
  </si>
  <si>
    <t>T.C. Reales al 31/07/2026</t>
  </si>
  <si>
    <t>Reales</t>
  </si>
  <si>
    <t>Deudor</t>
  </si>
  <si>
    <t>Acreedor</t>
  </si>
  <si>
    <t>ACTIVO</t>
  </si>
  <si>
    <t>1110100330  FONDO FIJO BS. AS.</t>
  </si>
  <si>
    <t>1110100340  FONDO FIJO SENASA</t>
  </si>
  <si>
    <t>1110100420  BANCO FRANCES C/C</t>
  </si>
  <si>
    <t>1110101050  FONDO FIJO ADELANTOS PDT</t>
  </si>
  <si>
    <t>1120100100  FORD</t>
  </si>
  <si>
    <t>1120100400  TRANSPORTES FURLONG S.A. AR</t>
  </si>
  <si>
    <t>1120100700  RENAULT ARG. S.A.</t>
  </si>
  <si>
    <t>1120101300  VOLKSWAGEN ARGENTINA S.A.</t>
  </si>
  <si>
    <t>1120101600  FCA AUTOMOBILES ARGENTINA S.A.</t>
  </si>
  <si>
    <t xml:space="preserve"> </t>
  </si>
  <si>
    <t>1120131000  CNH ARGENTINA S.A.</t>
  </si>
  <si>
    <t>1120138000  STELLANTIS AUTOMOVILES DE ARGENTINA S. A</t>
  </si>
  <si>
    <t>1140300100  ANTICIPO A PDT</t>
  </si>
  <si>
    <t>1140600300  PRESTAMO A. VELASCO</t>
  </si>
  <si>
    <t>1140601100  PRESTAMO LORENA ALVES</t>
  </si>
  <si>
    <t>1140601400  PRESTAMO VERA</t>
  </si>
  <si>
    <t>1140601300  PRESTAMO CUBA</t>
  </si>
  <si>
    <t>1140900700  SEGUROS A DEV. ZURICH ASEG. S.A.</t>
  </si>
  <si>
    <t>1140900800  SEGUROS A DEV. ARG LA MERIDIONAL</t>
  </si>
  <si>
    <t>1140900900  SEGUROS A DEV. FEDERACION PATRONAL SA</t>
  </si>
  <si>
    <t>1160100000  FCI BBVA Inversiones</t>
  </si>
  <si>
    <t>1160200000  Plazo fijo</t>
  </si>
  <si>
    <t>1160300000  Intereses a devengar PF</t>
  </si>
  <si>
    <t>1210100100  SOFTWARE</t>
  </si>
  <si>
    <t>1210200300  MUEBLES Y UTILES</t>
  </si>
  <si>
    <t>1210300100  IMPRESORA EPSON LX300</t>
  </si>
  <si>
    <t>1210300200  IMPRESORA EPSON MULTIFUNCIÓN</t>
  </si>
  <si>
    <t>1210300300  COMPUTADORAS</t>
  </si>
  <si>
    <t>1210400100  EQUIPOS</t>
  </si>
  <si>
    <t>1210500100  AIRE ACONDICIONADO</t>
  </si>
  <si>
    <t>1210500200  CALEFÓN</t>
  </si>
  <si>
    <t>1140500300 ANTICIPO DE VACACIONES</t>
  </si>
  <si>
    <t>1210700100  RODADOS</t>
  </si>
  <si>
    <t>1220100000  AMORT. ACUM. SOFTWARE</t>
  </si>
  <si>
    <t>1220200000  AMORT. ACUM. M Y UTS</t>
  </si>
  <si>
    <t>1220300000  AMORT. ACUM. EQUIPOS</t>
  </si>
  <si>
    <t>1220400000  AMORT. ACUM. INSTALACIONES</t>
  </si>
  <si>
    <t>1220500000  AMORT. ACUM. HARDWARE</t>
  </si>
  <si>
    <t>1220600000  AMORT. ACUM. COMPUTADORAS</t>
  </si>
  <si>
    <t>1220700000  AMORT. ACUM. RODADOS</t>
  </si>
  <si>
    <t>PASIVO</t>
  </si>
  <si>
    <t>2110100300  COTELCAM</t>
  </si>
  <si>
    <t>2110102400  OSDE</t>
  </si>
  <si>
    <t>2110100900  ESTUDIO CORTES</t>
  </si>
  <si>
    <t>2110101500  VENEZIA AUTOS SA</t>
  </si>
  <si>
    <t>2110101800  TRANSPORTES FURLONG ARG. S.A</t>
  </si>
  <si>
    <t>2110105400  MERCOVIA S.A.</t>
  </si>
  <si>
    <t>2110106800  OKINET SRL</t>
  </si>
  <si>
    <t>2110108900  LA MERIDIONAL S.A.</t>
  </si>
  <si>
    <t>2110115100  GIULI SERGIO ALBERTO</t>
  </si>
  <si>
    <t>2110116700  CARLOS ALEJANDRO DUMA</t>
  </si>
  <si>
    <t>2110118000  MANGGINI PABLO Y ULISES S.H</t>
  </si>
  <si>
    <t>2110120600  QBE SEGUROS LA BUENOS AIRES S.A.</t>
  </si>
  <si>
    <t>2110125800  SERVI OESTE S.A</t>
  </si>
  <si>
    <t>2110126900  RODRIGO E. FONTAN</t>
  </si>
  <si>
    <t>2110127300  AB Fiduciaria S.A.</t>
  </si>
  <si>
    <t>2110130100  LUCIO JORGE ZEMBORAIN</t>
  </si>
  <si>
    <t>2110131700  LIBRERIA MAYA SA</t>
  </si>
  <si>
    <t>2110132900  AURELIA S.A.C.I.F.</t>
  </si>
  <si>
    <t>2110141500  FIDEICOMISO RS CAMPANA</t>
  </si>
  <si>
    <t>2110160100  ZOPPI MARIANO</t>
  </si>
  <si>
    <t>2110161200  QUEREJETA LUIS</t>
  </si>
  <si>
    <t>2110192100  FEDERACION PATRONAL SEGUROS S.A</t>
  </si>
  <si>
    <t>2110195000  RUBIN DE CELIS AGUSTIN</t>
  </si>
  <si>
    <t>2110197900  AMX ARGENTINA S.A.</t>
  </si>
  <si>
    <t>2110803300  AUTOPISTAS DEL SOL S.A.</t>
  </si>
  <si>
    <t>2110300100  SUELDOS A PAGAR</t>
  </si>
  <si>
    <t>2110300200  CARGAS SOCIALES A PAGAR</t>
  </si>
  <si>
    <t>2110300400  SICORE A PAGAR</t>
  </si>
  <si>
    <t>2110407000  Plan mis Facilidades</t>
  </si>
  <si>
    <t>2110408000  Intereses a Devengar</t>
  </si>
  <si>
    <t>2110804800   AUTOPISTAS DE BUENOS AIRES SA</t>
  </si>
  <si>
    <t>2110404000  INTERESES A DEVENGAR R684502</t>
  </si>
  <si>
    <t>2110804300 ZURICH ASEGURADORA ARGENTINA S.A</t>
  </si>
  <si>
    <t>2110406000  INTERESES A DEVENGAR T064177</t>
  </si>
  <si>
    <t>2110700100  ADELANTO CASA MATRIZ</t>
  </si>
  <si>
    <t>2110700600  ACUERDOS CNRT A PAGAR</t>
  </si>
  <si>
    <t>2110803600  OPUS INSPECTION S.A.</t>
  </si>
  <si>
    <t>2110800400  SEGURA PADILLA DOLORES DEL VALLE</t>
  </si>
  <si>
    <t>2110801500  LETE MARIO NELSON</t>
  </si>
  <si>
    <t>2110803700  AUTOPISTAS URBANAS S.A.</t>
  </si>
  <si>
    <t>2110801800  ESTUDIO ADUANERO BERTORELLO &amp; Asoc SRL</t>
  </si>
  <si>
    <t>2110803900  VTV CABA SOCIEDAD ANONIMA</t>
  </si>
  <si>
    <t>2110804000  EMPRENDIMIENTOS SATELITALES S.A.</t>
  </si>
  <si>
    <t>2110804100  FERNANDO ATILIO BERTORELLO</t>
  </si>
  <si>
    <t>2110804600  LUDUEÑA FRANCO RODRIGO</t>
  </si>
  <si>
    <t>2113000000  FERNANDEZ MEDINA MARIA ELSA</t>
  </si>
  <si>
    <t>2110804400  MARCOS RAUL RODRIGUEZ</t>
  </si>
  <si>
    <t>2110804500  GASTON SAMACOITS</t>
  </si>
  <si>
    <t>2113200000  SERGIO MARCELO MARTIN</t>
  </si>
  <si>
    <t>2110805100  Concesionaria  Rodovias</t>
  </si>
  <si>
    <t>2112100000  ARTEAGA PEDRO</t>
  </si>
  <si>
    <t>2115900000  ROMERO SILVIA ADRIANA</t>
  </si>
  <si>
    <t>2113400000  FRONTAR LIBRE</t>
  </si>
  <si>
    <t>2110160500  TANCO PADILLA ALFREDO</t>
  </si>
  <si>
    <t>2116100000  Marcos Gabriel Giordano</t>
  </si>
  <si>
    <t>2113700000  POLIPREN ARGENTINA SRL</t>
  </si>
  <si>
    <t>2110805400 HOTEL RENTAL SUITES CAMPANA</t>
  </si>
  <si>
    <t>2116400000  Autovia del Mercosur</t>
  </si>
  <si>
    <t>2116300000 Sistemas Bejerman</t>
  </si>
  <si>
    <t>PATRIMONIO NETO</t>
  </si>
  <si>
    <t>3310000000  RNA EJERCICIO ANTERIOR</t>
  </si>
  <si>
    <t>3320000000  RESULTADOS DEL EJERCICIOS</t>
  </si>
  <si>
    <t>RESULTADO</t>
  </si>
  <si>
    <t>4110100000  SERVICIOS PRESTADOS</t>
  </si>
  <si>
    <t>4120500000  INTERESES GANADOS</t>
  </si>
  <si>
    <t>4231100000  RESULTADO POR TENENCIA FCI</t>
  </si>
  <si>
    <t>4120100000  RECUPERO DE GASTOS</t>
  </si>
  <si>
    <t>412   OTROS INGRESOS</t>
  </si>
  <si>
    <t>4120300000  VENTA RODADO</t>
  </si>
  <si>
    <t>4120200000  DIFERENCIA DE COTIZACION</t>
  </si>
  <si>
    <t>4210100000  GASTOS GENERALES</t>
  </si>
  <si>
    <t>4210200000  MOVILIDAD Y VIÁTICOS</t>
  </si>
  <si>
    <t>4210300000  SUELDOS</t>
  </si>
  <si>
    <t>4210400000  HONORARIOS PROFESIONALES</t>
  </si>
  <si>
    <t>4210500000  LIBRERÍA</t>
  </si>
  <si>
    <t>4210600000  CONTRIBUCIONES PATRONALES</t>
  </si>
  <si>
    <t>4211200000  GASTOS EN EQ. TELEFÓNICOS</t>
  </si>
  <si>
    <t>4211300000  GASTOS OBRA SOCIAL</t>
  </si>
  <si>
    <t>4224100000  INDEMNIZACION POR DESPIDO</t>
  </si>
  <si>
    <t>4212400000  AUTÓNOMOS DIRECTORES</t>
  </si>
  <si>
    <t>4212500000  AMORTIZACIONES</t>
  </si>
  <si>
    <t>4210700000  MANTENIMIENTO DE MÁQUINAS</t>
  </si>
  <si>
    <t>4212700000  ALQUILER FOTOCOPIADORA</t>
  </si>
  <si>
    <t>4210900000  GASTOS PC</t>
  </si>
  <si>
    <t>4212900000  TASA IGJ</t>
  </si>
  <si>
    <t>4213200000  ACUERDO SECLO</t>
  </si>
  <si>
    <t>4213300000  SALARIO COMPLEMENTARIO DEL DECRETO 332/20</t>
  </si>
  <si>
    <t>4212000000  MANTENIMIENTO</t>
  </si>
  <si>
    <t>4213000000  ALQUILER OFICINA MÓVIL</t>
  </si>
  <si>
    <t>4213100000  GRATIFICACIONES</t>
  </si>
  <si>
    <t>4214000000  GASTOS MÉDICOS</t>
  </si>
  <si>
    <t>4215000000  HONORARIOS LEGALES</t>
  </si>
  <si>
    <t>4212200000  LEGALIZACIONES</t>
  </si>
  <si>
    <t>4216000000  HABILITACIONES</t>
  </si>
  <si>
    <t>4218000000  GASTOS HOTELERÍA</t>
  </si>
  <si>
    <t>4219000000  GASTOS GESTORÍA</t>
  </si>
  <si>
    <t>4220100000  SEGUROS</t>
  </si>
  <si>
    <t>4220200000  COMUNICACIONES</t>
  </si>
  <si>
    <t>4220300000  LOCOMOCION</t>
  </si>
  <si>
    <t>4220400000  CUSTODIA</t>
  </si>
  <si>
    <t>4220500000  DESPACHANTE</t>
  </si>
  <si>
    <t>4220600000  MANTENIMIENTO DE FLOTA</t>
  </si>
  <si>
    <t>4220700000  COMBUSTIBLE</t>
  </si>
  <si>
    <t>4220800000  LAVADO DE FLOTA</t>
  </si>
  <si>
    <t>4220900000  MENSAJERIA</t>
  </si>
  <si>
    <t>4221000000  PEAJES</t>
  </si>
  <si>
    <t>4221200000  CNRT</t>
  </si>
  <si>
    <t>4221100000  ESTACIONAMIENTO</t>
  </si>
  <si>
    <t>4211800000  REPARACIONES</t>
  </si>
  <si>
    <t>4221300000  GASTOS VARIOS</t>
  </si>
  <si>
    <t>4221400000  SEGURIDAD Y VIGILANCIA</t>
  </si>
  <si>
    <t>4221500000  REFRIGERIOS</t>
  </si>
  <si>
    <t>4221600000  REPARACIONES FLOTA</t>
  </si>
  <si>
    <t>4212100000  FLETES</t>
  </si>
  <si>
    <t>4221700200 GTOS PLAYA ESTADIA</t>
  </si>
  <si>
    <t>4221800000  MULTAS</t>
  </si>
  <si>
    <t>4221900000  GASTOS DE REPRESENTACIÓN</t>
  </si>
  <si>
    <t>4222000000  GASTOS DE LOGÍSTICA</t>
  </si>
  <si>
    <t>4222100000  ALQUILER DE AUTOS</t>
  </si>
  <si>
    <t>4222200000  ACCIDENTES</t>
  </si>
  <si>
    <t xml:space="preserve">4222300000  SINIESTROS </t>
  </si>
  <si>
    <t>4222400000  DONACIONES</t>
  </si>
  <si>
    <t>4222500000  ESTIBAJES</t>
  </si>
  <si>
    <t>4222600000  ALQUILER DPTO</t>
  </si>
  <si>
    <t>4222700000  COMISIONES</t>
  </si>
  <si>
    <t>4222800000  ALQUILER COCHERA</t>
  </si>
  <si>
    <t>4222900000  ROPA DE TRABAJO</t>
  </si>
  <si>
    <t>4223000000  BS. PERSONALES ACCIO. Y PARTICIPACIONES</t>
  </si>
  <si>
    <t>4223100000  PATENTES</t>
  </si>
  <si>
    <t>4223200000  TASAS SENASA</t>
  </si>
  <si>
    <t>4224200000  GASTOS DE PUBLICIDAD</t>
  </si>
  <si>
    <t xml:space="preserve">4223300000  JUICIOS </t>
  </si>
  <si>
    <t>4223400000  GASTOS VARIOS CLIENTES</t>
  </si>
  <si>
    <t>4223500000  VERIFICACIÓN TÉCNICA VEHICULAR</t>
  </si>
  <si>
    <t>4225000000  CESIÓN DE DERECHOS</t>
  </si>
  <si>
    <t>4223600000  DEUDORES INCOBRABLES</t>
  </si>
  <si>
    <t>4223700000  VERIFICACIÓN POLICIAL/TÈCNICA VEHICULAR</t>
  </si>
  <si>
    <t>4223900000  GASTOS ROPA DE TRABAJO</t>
  </si>
  <si>
    <t>4223800000  AJUSTE SALDO CLIENTE</t>
  </si>
  <si>
    <t>4211400000  GASTOS EN TRÁMITES</t>
  </si>
  <si>
    <t>4225000000  ADELANTO VIAJE</t>
  </si>
  <si>
    <t>4230100000  GASTOS Y COMISIONES BANCARIOS</t>
  </si>
  <si>
    <t>4230200000  IMP. A LOS DÉBITOS Y CRÉDITOS LEY 25,413</t>
  </si>
  <si>
    <t>4230200000  IMP. A LOS DEBITOS</t>
  </si>
  <si>
    <t>4230300000  IMP. A LOS CREDITOS</t>
  </si>
  <si>
    <t>4230400000  INTERESES RESARCITORIOS</t>
  </si>
  <si>
    <t>4230500000  LEASING</t>
  </si>
  <si>
    <t>4230700000  EMBARGO RADICACION VEHICULAR</t>
  </si>
  <si>
    <t>4212300000  GASTOS VARIOS PERSONAL</t>
  </si>
  <si>
    <t>4230900000  IMP. AL CHEQUE</t>
  </si>
  <si>
    <t>4212800000  TASAS AFIP</t>
  </si>
  <si>
    <t>4240100000  COMBUSTIBLE</t>
  </si>
  <si>
    <t>4228000000  SERVICIO DE TRANSPORTE Y ALMACENAMIENTO</t>
  </si>
  <si>
    <t>4231200000  INTERESES FINANCIEROS</t>
  </si>
  <si>
    <t>4230400000 INTERESES RESARCITORIOS</t>
  </si>
  <si>
    <t>DIFERENCIA DE CAMBIO</t>
  </si>
  <si>
    <t>Diferencia</t>
  </si>
  <si>
    <t>EXPLICACIÓN DIF DE CAMBIO</t>
  </si>
  <si>
    <t>ENERO 01/01/2026-31/01/2026</t>
  </si>
  <si>
    <t>FEBRERO 01/02/2026-28/02/2026</t>
  </si>
  <si>
    <t>MARZO 01/03/2026-31/03/2026</t>
  </si>
  <si>
    <t>ABRIL 01/04/2026-30/04/2026</t>
  </si>
  <si>
    <t>MAYO 01/05/2026-31/05/2026</t>
  </si>
  <si>
    <t>JUNIO 01/06/2026-30/06/2026</t>
  </si>
  <si>
    <t>JULIO 01/07/2026-31/07/2026</t>
  </si>
  <si>
    <t>ACUMULADO 01/01/2026 - 30/06/2026</t>
  </si>
  <si>
    <t>DIF</t>
  </si>
  <si>
    <t>TRANSPORTES FURLONG S.A</t>
  </si>
  <si>
    <t>Al 31 de Julio 2026</t>
  </si>
  <si>
    <t xml:space="preserve">Estado de Situación Patrimonial </t>
  </si>
  <si>
    <t>ACTIVO:</t>
  </si>
  <si>
    <t>ACTIVO CORRIENTE</t>
  </si>
  <si>
    <t>PASIVO CORRIENTE</t>
  </si>
  <si>
    <t>Caja y bancos (Nota 4.a)</t>
  </si>
  <si>
    <t>Comerciales (Nota 4.e)</t>
  </si>
  <si>
    <t>Inversiones Temporarias (Nota 4.b)</t>
  </si>
  <si>
    <t>Remuneraciones y cs.sociales (Nota 4.f)</t>
  </si>
  <si>
    <t>Créditos por ventas (Nota 4.c)</t>
  </si>
  <si>
    <t>Cargas fiscales (Nota 4.g)</t>
  </si>
  <si>
    <t xml:space="preserve">Otros Créditos (Nota 4.d) </t>
  </si>
  <si>
    <t>Total del Activo corriente</t>
  </si>
  <si>
    <t>Total del Pasivo Corriente</t>
  </si>
  <si>
    <t>Total del Pasivo</t>
  </si>
  <si>
    <t>ACTIVO NO CORRIENTE</t>
  </si>
  <si>
    <t>Bienes de uso (Anexo I)</t>
  </si>
  <si>
    <t>PATRIMONIO NETO (Según estado respec.)</t>
  </si>
  <si>
    <t>Total del Activo no corriente</t>
  </si>
  <si>
    <t>Total del Activo</t>
  </si>
  <si>
    <t>Total del Pasivo y Patrimonio Neto</t>
  </si>
  <si>
    <t>Las notas y anexos adjuntos forman parte integrante de los estados contables.</t>
  </si>
  <si>
    <t>Informe profesional por separado.</t>
  </si>
  <si>
    <t>Miguel Ángel Alonso</t>
  </si>
  <si>
    <t>Tomas Furlong</t>
  </si>
  <si>
    <t>Contador Público (UCA)</t>
  </si>
  <si>
    <t>Transportes Furlong S.A.</t>
  </si>
  <si>
    <t>C.P.C.E.C.A.B.A. Tº176 Fº3</t>
  </si>
  <si>
    <t>Apoderado</t>
  </si>
  <si>
    <t>Estado de Resultados</t>
  </si>
  <si>
    <t>Ingresos por servicios prestados</t>
  </si>
  <si>
    <t>Gastos de comercialización (Anexo II)</t>
  </si>
  <si>
    <t>Gastos de administración (Anexo II)</t>
  </si>
  <si>
    <t>Gastos de financieros (Anexo II)</t>
  </si>
  <si>
    <t>Subtotal</t>
  </si>
  <si>
    <t>Otros ingresos y egresos</t>
  </si>
  <si>
    <t>Diferencia de cotización</t>
  </si>
  <si>
    <t>Intereses</t>
  </si>
  <si>
    <t>Venta Bienes de Uso</t>
  </si>
  <si>
    <t>Ganancia antes de impuesto</t>
  </si>
  <si>
    <t>Impuesto a las Ganancias</t>
  </si>
  <si>
    <t>Ganancia (Pérdida) del ejercicio</t>
  </si>
  <si>
    <t>Estado de Evolución del Patrimonio Neto</t>
  </si>
  <si>
    <t xml:space="preserve">   </t>
  </si>
  <si>
    <t>CONCEPTO</t>
  </si>
  <si>
    <t xml:space="preserve">                                             Aportes de los propietarios</t>
  </si>
  <si>
    <t>Ganancias</t>
  </si>
  <si>
    <t>Reservadas</t>
  </si>
  <si>
    <t>Resultados</t>
  </si>
  <si>
    <t>Total del</t>
  </si>
  <si>
    <t>Capital</t>
  </si>
  <si>
    <t xml:space="preserve">Ajuste </t>
  </si>
  <si>
    <t>Total de</t>
  </si>
  <si>
    <t>Reserva</t>
  </si>
  <si>
    <t xml:space="preserve">Otras </t>
  </si>
  <si>
    <t>Aportes</t>
  </si>
  <si>
    <t>no</t>
  </si>
  <si>
    <t>patrimonio</t>
  </si>
  <si>
    <t>de Capital</t>
  </si>
  <si>
    <t>legal</t>
  </si>
  <si>
    <t>reservas</t>
  </si>
  <si>
    <t>Irrevocables</t>
  </si>
  <si>
    <t>asignados</t>
  </si>
  <si>
    <t>neto</t>
  </si>
  <si>
    <t>$</t>
  </si>
  <si>
    <t xml:space="preserve">                                                                                                                                                                                        </t>
  </si>
  <si>
    <t>Saldos al inicio del ejercicio</t>
  </si>
  <si>
    <t>Reasignación casa matriz</t>
  </si>
  <si>
    <t>Total al 31.7.2026</t>
  </si>
  <si>
    <t>Total al 31.12.05</t>
  </si>
  <si>
    <t>NOTA 4:</t>
  </si>
  <si>
    <t>COMPOSICION DE LOS RUBROS</t>
  </si>
  <si>
    <t>Activo Corriente</t>
  </si>
  <si>
    <t>a.</t>
  </si>
  <si>
    <t>Caja y bancos</t>
  </si>
  <si>
    <t>- Caja</t>
  </si>
  <si>
    <t>- Fondo Fijo</t>
  </si>
  <si>
    <t>- Fondo Fijo SENASA</t>
  </si>
  <si>
    <t>- Fondo Fijo Adelantos PDT</t>
  </si>
  <si>
    <t>- Banco Francés c/c</t>
  </si>
  <si>
    <t>- Valores a Depositar</t>
  </si>
  <si>
    <t>- Efectivo Casa Matriz</t>
  </si>
  <si>
    <t>- Cheques no depositados</t>
  </si>
  <si>
    <t>b.</t>
  </si>
  <si>
    <t>Inversione temporarias</t>
  </si>
  <si>
    <t>- Plazo Fijo</t>
  </si>
  <si>
    <t>- Fondo común inversión BBVA</t>
  </si>
  <si>
    <t>c.</t>
  </si>
  <si>
    <t>Creditos por Ventas</t>
  </si>
  <si>
    <t>- Deudores por ventas</t>
  </si>
  <si>
    <t>- Anticipo a proveedores</t>
  </si>
  <si>
    <t>d.</t>
  </si>
  <si>
    <t>Otros créditos</t>
  </si>
  <si>
    <t>- Transportes Furlong Cba.</t>
  </si>
  <si>
    <t>- Adelantos Tomás Furlong</t>
  </si>
  <si>
    <t>- Adelantos PDT</t>
  </si>
  <si>
    <t>- Adelanto de gastos</t>
  </si>
  <si>
    <t xml:space="preserve"> - ANTICIPO COMBUSTIBLE Velasco</t>
  </si>
  <si>
    <t>- Adelanto de sac</t>
  </si>
  <si>
    <t>- Prestamos al personal</t>
  </si>
  <si>
    <t>- Gastos a recuperar</t>
  </si>
  <si>
    <t>- Prov. Fc a recibir transportistas</t>
  </si>
  <si>
    <t>- Retenciones IIBB</t>
  </si>
  <si>
    <t>- Retenciones ganancias</t>
  </si>
  <si>
    <t>- Retenciones suss</t>
  </si>
  <si>
    <t>- Retenciones y Percepciones IVA</t>
  </si>
  <si>
    <t>- Crédito Imp. Ley 25413</t>
  </si>
  <si>
    <t>- Fondo fijo a rendir</t>
  </si>
  <si>
    <t>- Seguros a Devengar</t>
  </si>
  <si>
    <t>31.03.04</t>
  </si>
  <si>
    <t>31.03.03</t>
  </si>
  <si>
    <t>Pasivo</t>
  </si>
  <si>
    <t>Pasivo Corriente</t>
  </si>
  <si>
    <t>e.</t>
  </si>
  <si>
    <t>Deudas comerciales</t>
  </si>
  <si>
    <t>- Anticipos de clientes</t>
  </si>
  <si>
    <t>- Adelanto casa matriz</t>
  </si>
  <si>
    <t>- Proveedores</t>
  </si>
  <si>
    <t>- Previsiones</t>
  </si>
  <si>
    <t>- Cheques Emitidos</t>
  </si>
  <si>
    <t>f.</t>
  </si>
  <si>
    <t>Remuneraciones y cs. Sociales</t>
  </si>
  <si>
    <t>- Suss a pagar</t>
  </si>
  <si>
    <t>- Sueldos a pagar</t>
  </si>
  <si>
    <t>- Indemnización a pagar</t>
  </si>
  <si>
    <t>g.</t>
  </si>
  <si>
    <t>Cargas fiscales</t>
  </si>
  <si>
    <t xml:space="preserve">- Plan mis Facilidades  </t>
  </si>
  <si>
    <t xml:space="preserve">- Intereses a devengar  </t>
  </si>
  <si>
    <t>- Sicore a pagar</t>
  </si>
  <si>
    <t>- Bs. Pers. Acc. Y Participaciones a Pagar</t>
  </si>
  <si>
    <t>h.</t>
  </si>
  <si>
    <t>Otras Deudas</t>
  </si>
  <si>
    <t>- Prestamos a pagar</t>
  </si>
  <si>
    <t>- Convenio HSBC</t>
  </si>
  <si>
    <t>- Rodados a pagar</t>
  </si>
  <si>
    <t>- Acuerdos CNRT a pagar</t>
  </si>
  <si>
    <t>- Provision Siniestro Ford</t>
  </si>
  <si>
    <t>- Prestamo Carlos Furlong</t>
  </si>
  <si>
    <t>- Prestamo Lorena Alves</t>
  </si>
  <si>
    <t>Miguel Angel Alonso</t>
  </si>
  <si>
    <t>Contador Publico (UCA)</t>
  </si>
  <si>
    <t>B I E N E S    D E    U S O</t>
  </si>
  <si>
    <t>VALOR DE ORIGEN</t>
  </si>
  <si>
    <t>DEPRECIACIONES</t>
  </si>
  <si>
    <t xml:space="preserve">VALORES AL </t>
  </si>
  <si>
    <t xml:space="preserve">ACUMULADAS </t>
  </si>
  <si>
    <t>DEL EJERCICIO</t>
  </si>
  <si>
    <t>ACUMULADAS</t>
  </si>
  <si>
    <t>NETO</t>
  </si>
  <si>
    <t xml:space="preserve">COMIENZO DEL </t>
  </si>
  <si>
    <t>AUMENTOS</t>
  </si>
  <si>
    <t>DISMINUCIONES</t>
  </si>
  <si>
    <t xml:space="preserve">CIERRE DEL </t>
  </si>
  <si>
    <t>AL INICIO DEL</t>
  </si>
  <si>
    <t>BAJAS</t>
  </si>
  <si>
    <t>ALIC</t>
  </si>
  <si>
    <t>MONTO</t>
  </si>
  <si>
    <t xml:space="preserve">AL CIERRE DEL </t>
  </si>
  <si>
    <t>RESULTANTE</t>
  </si>
  <si>
    <t>EJERCICIO</t>
  </si>
  <si>
    <t>Software</t>
  </si>
  <si>
    <t>Hardware</t>
  </si>
  <si>
    <t>Computadoras</t>
  </si>
  <si>
    <t>Equipos</t>
  </si>
  <si>
    <t>Muebles y Utiles</t>
  </si>
  <si>
    <t>Instalaciones</t>
  </si>
  <si>
    <t>Rodados</t>
  </si>
  <si>
    <t>ANEXO II</t>
  </si>
  <si>
    <t>Información Requerida por el Art. 64 Inc. b) de la Ley 19.550</t>
  </si>
  <si>
    <t>Anexo II</t>
  </si>
  <si>
    <t>TOTALES</t>
  </si>
  <si>
    <t xml:space="preserve">GASTOS </t>
  </si>
  <si>
    <t>GASTOS</t>
  </si>
  <si>
    <t xml:space="preserve">                           CONCEPTOS</t>
  </si>
  <si>
    <t>AL</t>
  </si>
  <si>
    <t xml:space="preserve">DE </t>
  </si>
  <si>
    <t>ADMINISTRACION</t>
  </si>
  <si>
    <t>COMERCIALIZACION</t>
  </si>
  <si>
    <t>FINANCIEROS</t>
  </si>
  <si>
    <t>31.03.02</t>
  </si>
  <si>
    <t>Amortizaciones</t>
  </si>
  <si>
    <t>Accidentes</t>
  </si>
  <si>
    <t>Acuerdo SECLO</t>
  </si>
  <si>
    <t>Adelanto Viaje</t>
  </si>
  <si>
    <t>Alquiler de autos</t>
  </si>
  <si>
    <t>Alquileres</t>
  </si>
  <si>
    <t>Adicional obra social</t>
  </si>
  <si>
    <t>Indemnizaciones</t>
  </si>
  <si>
    <t>Cargas Sociales</t>
  </si>
  <si>
    <t>Reparaciones</t>
  </si>
  <si>
    <t>Catering</t>
  </si>
  <si>
    <t>Cesión de Derechos</t>
  </si>
  <si>
    <t>Combustible</t>
  </si>
  <si>
    <t>Comunicaciones</t>
  </si>
  <si>
    <t>Custodia</t>
  </si>
  <si>
    <t>Capacitación</t>
  </si>
  <si>
    <t>Deudores incobrables</t>
  </si>
  <si>
    <t>Despachantes</t>
  </si>
  <si>
    <t>Donaciones</t>
  </si>
  <si>
    <t>Estadía</t>
  </si>
  <si>
    <t>Estibajes</t>
  </si>
  <si>
    <t>Estacionamiento</t>
  </si>
  <si>
    <t>Embargo radicación vehicular</t>
  </si>
  <si>
    <t>Fletes</t>
  </si>
  <si>
    <t>Gastos de logística</t>
  </si>
  <si>
    <t>Gastos de representación</t>
  </si>
  <si>
    <t xml:space="preserve">Gastos Generales </t>
  </si>
  <si>
    <t>Gastos PC</t>
  </si>
  <si>
    <t>Gastos varios</t>
  </si>
  <si>
    <t>Gastos varios clientes</t>
  </si>
  <si>
    <t>Gastos varios personal</t>
  </si>
  <si>
    <t>Publicidad</t>
  </si>
  <si>
    <t>Gastos y comisiones bancarias</t>
  </si>
  <si>
    <t>Gastos obra social</t>
  </si>
  <si>
    <t>Gastos Hotelería</t>
  </si>
  <si>
    <t>Gastos Gestoría</t>
  </si>
  <si>
    <t>Gastos Telefonía</t>
  </si>
  <si>
    <t>Habilitaciones</t>
  </si>
  <si>
    <t>Honorarios profesionales</t>
  </si>
  <si>
    <t>Honorarios directores</t>
  </si>
  <si>
    <t>Honorarios legales</t>
  </si>
  <si>
    <t>Indumentaria</t>
  </si>
  <si>
    <t>Impuestos varios</t>
  </si>
  <si>
    <t>Imp. Bienes Acc. Y Part. Soc.</t>
  </si>
  <si>
    <t>Imp. A los créditos</t>
  </si>
  <si>
    <t>Imp. A los débitos y créditos</t>
  </si>
  <si>
    <t>imp. Al cheque</t>
  </si>
  <si>
    <t>Intereses resarcitorios</t>
  </si>
  <si>
    <t>Juicios</t>
  </si>
  <si>
    <t>Librería</t>
  </si>
  <si>
    <t>Leasing</t>
  </si>
  <si>
    <t>Legalizaciones</t>
  </si>
  <si>
    <t>Locomoción</t>
  </si>
  <si>
    <t>Mantenimiento</t>
  </si>
  <si>
    <t>Mantenimiento y lav. de flota</t>
  </si>
  <si>
    <t>Mensajería y trámites</t>
  </si>
  <si>
    <t>Molilidad y viáticos</t>
  </si>
  <si>
    <t xml:space="preserve">Multas </t>
  </si>
  <si>
    <t>Patentes</t>
  </si>
  <si>
    <t>Peajes</t>
  </si>
  <si>
    <t>Serv de Transporte y Almacenamiento</t>
  </si>
  <si>
    <t>Reparaciones flota</t>
  </si>
  <si>
    <t>Refrigerios</t>
  </si>
  <si>
    <t>Ropa de trabajo</t>
  </si>
  <si>
    <t>Seguros</t>
  </si>
  <si>
    <t>Seguridad y vigilancia</t>
  </si>
  <si>
    <t>Servicios de limpieza</t>
  </si>
  <si>
    <t>Siniestros</t>
  </si>
  <si>
    <t>Sueldos</t>
  </si>
  <si>
    <t>Salario Complementario del decreto 332/20</t>
  </si>
  <si>
    <t>Tasas Senasa</t>
  </si>
  <si>
    <t>Tasas IGJ, AFIP</t>
  </si>
  <si>
    <t>Gastos Médicos</t>
  </si>
  <si>
    <t>Calculo De Bienes Societarios de Transporte Furlong Barsil  2009</t>
  </si>
  <si>
    <t>Activo</t>
  </si>
  <si>
    <t>Patrimonio Neto</t>
  </si>
  <si>
    <t>Impuesto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</si>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</sst>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.00_ ;_ * -#,##0.00_ ;_ * &quot;-&quot;??_ ;_ @_ "/>
    <numFmt numFmtId="165" formatCode="_-* #,##0.00_-;-* #,##0.00_-;_-* &quot;-&quot;??_-;_-@_-"/>
    <numFmt numFmtId="166" formatCode="#,##0.00_);(#,##0.00)"/>
    <numFmt numFmtId="167" formatCode="_ &quot;$&quot; * #,##0.00_ ;_ &quot;$&quot; * -#,##0.00_ ;_ &quot;$&quot; * &quot;-&quot;??_ ;_ @_ "/>
    <numFmt numFmtId="168" formatCode="0.00000"/>
    <numFmt numFmtId="169" formatCode="_-* #,##0.00 _$_-;-* #,##0.00 _$_-;_-* &quot;-&quot;?? _$_-;_-@_-"/>
    <numFmt numFmtId="170" formatCode="dd/mm/yy;@"/>
    <numFmt numFmtId="171" formatCode="_(* #,##0_);_(* (#,##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2"/>
      <sz val="10"/>
      <name val="Arial"/>
    </font>
    <font>
      <family val="2"/>
      <sz val="9"/>
      <name val="Arial"/>
    </font>
    <font>
      <family val="1"/>
      <sz val="9"/>
      <name val="Bookman Old Style"/>
    </font>
    <font>
      <b/>
      <family val="1"/>
      <sz val="9"/>
      <name val="Bookman Old Style"/>
    </font>
    <font>
      <family val="2"/>
      <sz val="10"/>
      <name val="Century Gothic"/>
    </font>
    <font>
      <family val="1"/>
      <sz val="10"/>
      <name val="Bookman Old Style"/>
    </font>
    <font>
      <color rgb="FFFF0000"/>
      <family val="2"/>
      <sz val="10"/>
      <name val="Century Gothic"/>
    </font>
    <font>
      <sz val="10"/>
      <name val="Century Gothic"/>
    </font>
    <font>
      <b/>
      <family val="2"/>
      <sz val="12"/>
      <name val="Arial"/>
    </font>
    <font>
      <b/>
      <family val="1"/>
      <sz val="10"/>
      <name val="Bookman Old Style"/>
    </font>
    <font>
      <b/>
      <family val="1"/>
      <sz val="8"/>
      <name val="Bookman Old Style"/>
    </font>
    <font>
      <family val="1"/>
      <sz val="8"/>
      <name val="Bookman Old Style"/>
    </font>
    <font>
      <u/>
      <family val="1"/>
      <sz val="8"/>
      <name val="Bookman Old Style"/>
    </font>
    <font>
      <family val="2"/>
      <sz val="8"/>
      <name val="Century Gothic"/>
    </font>
    <font>
      <family val="1"/>
      <sz val="8"/>
      <name val="Times New Roman"/>
    </font>
    <font>
      <b/>
      <family val="1"/>
      <sz val="8"/>
      <name val="Times New Roman"/>
    </font>
    <font>
      <color indexed="8"/>
      <family val="2"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166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4" fillId="0" borderId="4" xfId="0" applyFont="1" applyBorder="1"/>
    <xf numFmtId="14" fontId="4" fillId="0" borderId="5" xfId="0" applyNumberFormat="1" applyFont="1" applyBorder="1" applyAlignment="1">
      <alignment horizontal="center"/>
    </xf>
    <xf numFmtId="14" fontId="4" fillId="0" borderId="0" xfId="0" applyNumberFormat="1" applyFont="1"/>
    <xf numFmtId="0" fontId="5" fillId="0" borderId="0" xfId="0" applyFont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5" xfId="0" applyFont="1" applyBorder="1"/>
    <xf numFmtId="4" fontId="4" fillId="0" borderId="5" xfId="0" applyNumberFormat="1" applyFont="1" applyBorder="1"/>
    <xf numFmtId="164" fontId="4" fillId="0" borderId="0" xfId="0" applyNumberFormat="1" applyFont="1"/>
    <xf numFmtId="4" fontId="4" fillId="0" borderId="0" xfId="0" applyNumberFormat="1" applyFont="1"/>
    <xf numFmtId="4" fontId="4" fillId="0" borderId="8" xfId="0" applyNumberFormat="1" applyFont="1" applyBorder="1"/>
    <xf numFmtId="4" fontId="4" fillId="0" borderId="9" xfId="0" applyNumberFormat="1" applyFont="1" applyBorder="1"/>
    <xf numFmtId="4" fontId="4" fillId="0" borderId="6" xfId="0" applyNumberFormat="1" applyFont="1" applyBorder="1"/>
    <xf numFmtId="167" fontId="4" fillId="0" borderId="0" xfId="0" applyNumberFormat="1" applyFont="1"/>
    <xf numFmtId="164" fontId="6" fillId="0" borderId="0" xfId="0" applyNumberFormat="1" applyFont="1" applyAlignment="1">
      <alignment vertical="top"/>
    </xf>
    <xf numFmtId="165" fontId="4" fillId="0" borderId="0" xfId="0" applyNumberFormat="1" applyFont="1"/>
    <xf numFmtId="0" fontId="4" fillId="0" borderId="10" xfId="0" applyFont="1" applyBorder="1"/>
    <xf numFmtId="0" fontId="4" fillId="0" borderId="11" xfId="0" applyFont="1" applyBorder="1"/>
    <xf numFmtId="0" fontId="5" fillId="0" borderId="11" xfId="0" applyFont="1" applyBorder="1"/>
    <xf numFmtId="4" fontId="4" fillId="0" borderId="12" xfId="0" applyNumberFormat="1" applyFont="1" applyBorder="1"/>
    <xf numFmtId="0" fontId="7" fillId="0" borderId="0" xfId="0" applyFont="1"/>
    <xf numFmtId="4" fontId="8" fillId="0" borderId="0" xfId="0" applyNumberFormat="1" applyFont="1"/>
    <xf numFmtId="4" fontId="3" fillId="0" borderId="0" xfId="0" applyNumberFormat="1" applyFont="1"/>
    <xf numFmtId="4" fontId="9" fillId="0" borderId="0" xfId="0" applyNumberFormat="1" applyFont="1"/>
    <xf numFmtId="164" fontId="3" fillId="0" borderId="0" xfId="0" applyNumberFormat="1" applyFont="1"/>
    <xf numFmtId="164" fontId="9" fillId="0" borderId="0" xfId="0" applyNumberFormat="1" applyFont="1"/>
    <xf numFmtId="0" fontId="7" fillId="0" borderId="0" xfId="0" applyFont="1" applyAlignment="1">
      <alignment horizontal="center"/>
    </xf>
    <xf numFmtId="0" fontId="2" fillId="0" borderId="0" xfId="0" applyFont="1"/>
    <xf numFmtId="0" fontId="9" fillId="0" borderId="2" xfId="0" applyFont="1" applyBorder="1"/>
    <xf numFmtId="14" fontId="9" fillId="0" borderId="0" xfId="0" applyNumberFormat="1" applyFont="1"/>
    <xf numFmtId="0" fontId="9" fillId="0" borderId="7" xfId="0" applyFont="1" applyBorder="1"/>
    <xf numFmtId="0" fontId="9" fillId="0" borderId="0" xfId="0" applyFont="1"/>
    <xf numFmtId="164" fontId="4" fillId="0" borderId="5" xfId="0" applyNumberFormat="1" applyFont="1" applyBorder="1"/>
    <xf numFmtId="164" fontId="4" fillId="0" borderId="8" xfId="0" applyNumberFormat="1" applyFont="1" applyBorder="1"/>
    <xf numFmtId="165" fontId="9" fillId="0" borderId="0" xfId="0" applyNumberFormat="1" applyFont="1"/>
    <xf numFmtId="2" fontId="4" fillId="0" borderId="5" xfId="0" applyNumberFormat="1" applyFont="1" applyBorder="1"/>
    <xf numFmtId="4" fontId="6" fillId="0" borderId="0" xfId="0" applyNumberFormat="1" applyFont="1"/>
    <xf numFmtId="164" fontId="4" fillId="0" borderId="12" xfId="0" applyNumberFormat="1" applyFont="1" applyBorder="1"/>
    <xf numFmtId="0" fontId="9" fillId="0" borderId="11" xfId="0" applyFont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7" fillId="0" borderId="15" xfId="0" applyNumberFormat="1" applyFont="1" applyBorder="1" applyAlignment="1">
      <alignment horizontal="center"/>
    </xf>
    <xf numFmtId="14" fontId="7" fillId="0" borderId="16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7" xfId="0" applyFont="1" applyBorder="1"/>
    <xf numFmtId="0" fontId="7" fillId="0" borderId="21" xfId="0" applyFont="1" applyBorder="1"/>
    <xf numFmtId="0" fontId="7" fillId="0" borderId="5" xfId="0" applyFont="1" applyBorder="1"/>
    <xf numFmtId="4" fontId="7" fillId="0" borderId="5" xfId="0" applyNumberFormat="1" applyFont="1" applyBorder="1"/>
    <xf numFmtId="4" fontId="7" fillId="0" borderId="0" xfId="0" applyNumberFormat="1" applyFont="1"/>
    <xf numFmtId="2" fontId="7" fillId="0" borderId="0" xfId="0" applyNumberFormat="1" applyFont="1"/>
    <xf numFmtId="0" fontId="7" fillId="0" borderId="23" xfId="0" applyFont="1" applyBorder="1"/>
    <xf numFmtId="4" fontId="7" fillId="0" borderId="8" xfId="0" applyNumberFormat="1" applyFont="1" applyBorder="1"/>
    <xf numFmtId="4" fontId="7" fillId="0" borderId="24" xfId="0" applyNumberFormat="1" applyFont="1" applyBorder="1"/>
    <xf numFmtId="0" fontId="7" fillId="0" borderId="4" xfId="0" applyFont="1" applyBorder="1"/>
    <xf numFmtId="164" fontId="7" fillId="0" borderId="5" xfId="0" applyNumberFormat="1" applyFont="1" applyBorder="1"/>
    <xf numFmtId="2" fontId="7" fillId="0" borderId="5" xfId="0" applyNumberFormat="1" applyFont="1" applyBorder="1"/>
    <xf numFmtId="164" fontId="7" fillId="0" borderId="11" xfId="0" applyNumberFormat="1" applyFont="1" applyBorder="1"/>
    <xf numFmtId="164" fontId="7" fillId="0" borderId="0" xfId="0" applyNumberFormat="1" applyFont="1"/>
    <xf numFmtId="168" fontId="7" fillId="0" borderId="0" xfId="0" applyNumberFormat="1" applyFont="1"/>
    <xf numFmtId="169" fontId="7" fillId="0" borderId="0" xfId="0" applyNumberFormat="1" applyFont="1"/>
    <xf numFmtId="0" fontId="12" fillId="0" borderId="0" xfId="0" applyFont="1"/>
    <xf numFmtId="0" fontId="13" fillId="0" borderId="0" xfId="0" applyFont="1"/>
    <xf numFmtId="170" fontId="13" fillId="0" borderId="7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4" fontId="13" fillId="0" borderId="0" xfId="0" applyNumberFormat="1" applyFont="1"/>
    <xf numFmtId="4" fontId="13" fillId="0" borderId="25" xfId="0" applyNumberFormat="1" applyFont="1" applyBorder="1"/>
    <xf numFmtId="2" fontId="13" fillId="0" borderId="0" xfId="0" applyNumberFormat="1" applyFont="1"/>
    <xf numFmtId="4" fontId="13" fillId="0" borderId="7" xfId="0" applyNumberFormat="1" applyFont="1" applyBorder="1"/>
    <xf numFmtId="170" fontId="13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4" fontId="15" fillId="0" borderId="0" xfId="0" applyNumberFormat="1" applyFont="1"/>
    <xf numFmtId="0" fontId="17" fillId="0" borderId="0" xfId="0" applyFont="1"/>
    <xf numFmtId="0" fontId="16" fillId="2" borderId="0" xfId="0" applyFont="1" applyFill="1"/>
    <xf numFmtId="171" fontId="16" fillId="0" borderId="0" xfId="0" applyNumberFormat="1" applyFont="1"/>
    <xf numFmtId="2" fontId="9" fillId="0" borderId="0" xfId="0" applyNumberFormat="1" applyFont="1"/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4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7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17" xfId="0" applyFont="1" applyBorder="1"/>
    <xf numFmtId="0" fontId="13" fillId="0" borderId="5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4" fontId="13" fillId="0" borderId="34" xfId="0" applyNumberFormat="1" applyFont="1" applyBorder="1" applyAlignment="1">
      <alignment horizontal="center"/>
    </xf>
    <xf numFmtId="0" fontId="13" fillId="0" borderId="22" xfId="0" applyFont="1" applyBorder="1"/>
    <xf numFmtId="0" fontId="13" fillId="0" borderId="6" xfId="0" applyFont="1" applyBorder="1"/>
    <xf numFmtId="0" fontId="13" fillId="0" borderId="35" xfId="0" applyFont="1" applyBorder="1"/>
    <xf numFmtId="4" fontId="13" fillId="0" borderId="5" xfId="0" applyNumberFormat="1" applyFont="1" applyBorder="1"/>
    <xf numFmtId="9" fontId="13" fillId="0" borderId="5" xfId="0" applyNumberFormat="1" applyFont="1" applyBorder="1" applyAlignment="1">
      <alignment horizontal="center"/>
    </xf>
    <xf numFmtId="4" fontId="13" fillId="0" borderId="34" xfId="0" applyNumberFormat="1" applyFont="1" applyBorder="1"/>
    <xf numFmtId="0" fontId="13" fillId="0" borderId="36" xfId="0" applyFont="1" applyBorder="1"/>
    <xf numFmtId="4" fontId="13" fillId="0" borderId="37" xfId="0" applyNumberFormat="1" applyFont="1" applyBorder="1"/>
    <xf numFmtId="4" fontId="13" fillId="0" borderId="38" xfId="0" applyNumberFormat="1" applyFont="1" applyBorder="1"/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7" fillId="0" borderId="27" xfId="0" applyFont="1" applyBorder="1" applyAlignment="1">
      <alignment horizontal="center"/>
    </xf>
    <xf numFmtId="14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14" fontId="7" fillId="0" borderId="29" xfId="0" applyNumberFormat="1" applyFont="1" applyBorder="1" applyAlignment="1">
      <alignment horizontal="center"/>
    </xf>
    <xf numFmtId="4" fontId="13" fillId="0" borderId="5" xfId="0" applyNumberFormat="1" applyFont="1" applyBorder="1" applyAlignment="1">
      <alignment horizontal="right"/>
    </xf>
    <xf numFmtId="2" fontId="13" fillId="0" borderId="5" xfId="0" applyNumberFormat="1" applyFont="1" applyBorder="1" applyAlignment="1">
      <alignment horizontal="right"/>
    </xf>
    <xf numFmtId="2" fontId="13" fillId="0" borderId="33" xfId="0" applyNumberFormat="1" applyFont="1" applyBorder="1" applyAlignment="1">
      <alignment horizontal="right"/>
    </xf>
    <xf numFmtId="14" fontId="7" fillId="0" borderId="27" xfId="0" applyNumberFormat="1" applyFont="1" applyBorder="1" applyAlignment="1">
      <alignment horizontal="center"/>
    </xf>
    <xf numFmtId="4" fontId="18" fillId="0" borderId="0" xfId="0" applyNumberFormat="1" applyFont="1" applyAlignment="1">
      <alignment horizontal="right"/>
    </xf>
    <xf numFmtId="2" fontId="13" fillId="0" borderId="34" xfId="0" applyNumberFormat="1" applyFont="1" applyBorder="1" applyAlignment="1">
      <alignment horizontal="right"/>
    </xf>
    <xf numFmtId="4" fontId="13" fillId="0" borderId="34" xfId="0" applyNumberFormat="1" applyFont="1" applyBorder="1" applyAlignment="1">
      <alignment horizontal="right"/>
    </xf>
    <xf numFmtId="14" fontId="7" fillId="0" borderId="0" xfId="0" applyNumberFormat="1" applyFont="1" applyAlignment="1">
      <alignment horizontal="center"/>
    </xf>
    <xf numFmtId="4" fontId="13" fillId="0" borderId="18" xfId="0" applyNumberFormat="1" applyFont="1" applyBorder="1"/>
    <xf numFmtId="2" fontId="13" fillId="0" borderId="18" xfId="0" applyNumberFormat="1" applyFont="1" applyBorder="1" applyAlignment="1">
      <alignment horizontal="right"/>
    </xf>
    <xf numFmtId="0" fontId="13" fillId="0" borderId="40" xfId="0" applyFont="1" applyBorder="1"/>
    <xf numFmtId="0" fontId="13" fillId="0" borderId="24" xfId="0" applyFont="1" applyBorder="1"/>
    <xf numFmtId="4" fontId="13" fillId="0" borderId="8" xfId="0" applyNumberFormat="1" applyFont="1" applyBorder="1" applyAlignment="1">
      <alignment horizontal="right"/>
    </xf>
    <xf numFmtId="4" fontId="13" fillId="0" borderId="41" xfId="0" applyNumberFormat="1" applyFont="1" applyBorder="1" applyAlignment="1">
      <alignment horizontal="right"/>
    </xf>
    <xf numFmtId="2" fontId="13" fillId="0" borderId="5" xfId="0" applyNumberFormat="1" applyFont="1" applyBorder="1"/>
    <xf numFmtId="4" fontId="7" fillId="0" borderId="11" xfId="0" applyNumberFormat="1" applyFont="1" applyBorder="1"/>
    <xf numFmtId="4" fontId="1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7"/>
  <sheetViews>
    <sheetView workbookViewId="0" zoomScale="100" zoomScaleNormal="100"/>
  </sheetViews>
  <sheetFormatPr defaultRowHeight="0" outlineLevelRow="0" outlineLevelCol="0" x14ac:dyDescent="0" customHeight="1"/>
  <cols>
    <col min="1" max="1" width="2.5546875" customWidth="1"/>
    <col min="2" max="2" width="14.6640625" customWidth="1"/>
    <col min="3" max="3" width="46.88671875" customWidth="1"/>
    <col min="4" max="5" width="14.88671875" customWidth="1"/>
    <col min="6" max="6" width="22" customWidth="1"/>
    <col min="7" max="7" width="14.44140625" customWidth="1"/>
    <col min="8" max="8" width="13.6640625" customWidth="1"/>
    <col min="9" max="9" width="14.33203125" customWidth="1"/>
    <col min="10" max="257" width="9.109375" customWidth="1"/>
  </cols>
  <sheetData>
    <row r="1" spans="2:7" x14ac:dyDescent="0.25">
      <c r="B1" t="s">
        <v>0</v>
      </c>
      <c r="D1" s="1" t="s">
        <v>1</v>
      </c>
      <c r="E1"/>
      <c r="F1" t="s">
        <v>2</v>
      </c>
      <c r="G1">
        <v>293.17575</v>
      </c>
    </row>
    <row r="2" spans="4:5" x14ac:dyDescent="0.25">
      <c r="D2" s="1" t="s">
        <v>3</v>
      </c>
      <c r="E2"/>
    </row>
    <row r="3" spans="4:5" x14ac:dyDescent="0.25">
      <c r="D3" s="1" t="s">
        <v>4</v>
      </c>
      <c r="E3" s="1" t="s">
        <v>5</v>
      </c>
    </row>
    <row r="5" spans="2:2" x14ac:dyDescent="0.25">
      <c r="B5" t="s">
        <v>6</v>
      </c>
    </row>
    <row r="7" spans="3:6" x14ac:dyDescent="0.25">
      <c r="C7" t="s">
        <v>7</v>
      </c>
      <c r="D7" s="2">
        <f>IF(F7&gt;0,F7,0)</f>
        <v>16641.693598753238</v>
      </c>
      <c r="E7" s="1">
        <f>IF(F7&lt;0,-F7,0)</f>
        <v>0</v>
      </c>
      <c r="F7" s="1">
        <f>IFERROR(VLOOKUP(C7,$C$228:$D$315,2,FALSE),0)</f>
        <v>16641.693598753238</v>
      </c>
    </row>
    <row r="8" hidden="1" spans="3:6" x14ac:dyDescent="0.25">
      <c r="C8" t="s">
        <v>8</v>
      </c>
      <c r="D8" s="2">
        <f>IF(F8&gt;0,F8,0)</f>
        <v>0</v>
      </c>
      <c r="E8" s="1">
        <f>IF(F8&lt;0,-F8,0)</f>
        <v>0</v>
      </c>
      <c r="F8" s="1">
        <f>IFERROR(VLOOKUP(C8,$C$228:$D$315,2,FALSE),0)</f>
        <v>0</v>
      </c>
    </row>
    <row r="9" spans="3:6" x14ac:dyDescent="0.25">
      <c r="C9" t="s">
        <v>9</v>
      </c>
      <c r="D9" s="2">
        <f>IF(F9&gt;0,F9,0)</f>
        <v>749.5355856573378</v>
      </c>
      <c r="E9" s="1">
        <f>IF(F9&lt;0,-F9,0)</f>
        <v>0</v>
      </c>
      <c r="F9" s="1">
        <f>IFERROR(VLOOKUP(C9,$C$228:$D$315,2,FALSE),0)</f>
        <v>749.5355856573378</v>
      </c>
    </row>
    <row r="10" hidden="1" spans="3:6" x14ac:dyDescent="0.25">
      <c r="C10" t="s">
        <v>10</v>
      </c>
      <c r="D10" s="2">
        <f>IF(F10&gt;0,F10,0)</f>
        <v>0</v>
      </c>
      <c r="E10" s="1">
        <f>IF(F10&lt;0,-F10,0)</f>
        <v>0</v>
      </c>
      <c r="F10" s="1">
        <f>IFERROR(VLOOKUP(C10,$C$228:$D$315,2,FALSE),0)</f>
        <v>0</v>
      </c>
    </row>
    <row r="11" spans="3:6" x14ac:dyDescent="0.25">
      <c r="C11" t="s">
        <v>11</v>
      </c>
      <c r="D11" s="2">
        <f>IF(F11&gt;0,F11,0)</f>
        <v>778.039005279087</v>
      </c>
      <c r="E11" s="1">
        <f>IF(F11&lt;0,-F11,0)</f>
        <v>0</v>
      </c>
      <c r="F11" s="1">
        <f>IFERROR(VLOOKUP(C11,$C$228:$D$315,2,FALSE),0)</f>
        <v>778.039005279087</v>
      </c>
    </row>
    <row r="12" spans="3:6" x14ac:dyDescent="0.25">
      <c r="C12" t="s">
        <v>12</v>
      </c>
      <c r="D12" s="2">
        <f>IF(F12&gt;0,F12,0)</f>
        <v>0</v>
      </c>
      <c r="E12" s="1">
        <f>IF(F12&lt;0,-F12,0)</f>
        <v>1392772.0842143465</v>
      </c>
      <c r="F12" s="1">
        <f>IFERROR(VLOOKUP(C12,$C$228:$D$315,2,FALSE),0)</f>
        <v>-1392772.0842143465</v>
      </c>
    </row>
    <row r="13" hidden="1" spans="3:6" x14ac:dyDescent="0.25">
      <c r="C13" t="s">
        <v>13</v>
      </c>
      <c r="D13" s="2">
        <f>IF(F13&gt;0,F13,0)</f>
        <v>0</v>
      </c>
      <c r="E13" s="1">
        <f>IF(F13&lt;0,-F13,0)</f>
        <v>0</v>
      </c>
      <c r="F13" s="1">
        <f>IFERROR(VLOOKUP(C13,$C$228:$D$315,2,FALSE),0)</f>
        <v>0</v>
      </c>
    </row>
    <row r="14" spans="3:6" x14ac:dyDescent="0.25">
      <c r="C14" t="s">
        <v>14</v>
      </c>
      <c r="D14" s="2">
        <f>IF(F14&gt;0,F14,0)</f>
        <v>2474.5724151080735</v>
      </c>
      <c r="E14" s="1">
        <f>IF(F14&lt;0,-F14,0)</f>
        <v>0</v>
      </c>
      <c r="F14" s="1">
        <f>IFERROR(VLOOKUP(C14,$C$228:$D$315,2,FALSE),0)</f>
        <v>2474.5724151080735</v>
      </c>
    </row>
    <row r="15" hidden="1" spans="3:7" x14ac:dyDescent="0.25">
      <c r="C15" t="s">
        <v>15</v>
      </c>
      <c r="D15" s="2">
        <f>IF(F15&gt;0,F15,0)</f>
        <v>0</v>
      </c>
      <c r="E15" s="1">
        <f>IF(F15&lt;0,-F15,0)</f>
        <v>0</v>
      </c>
      <c r="F15" s="1">
        <f>IFERROR(VLOOKUP(C15,$C$228:$D$315,2,FALSE),0)</f>
        <v>0</v>
      </c>
      <c r="G15" s="1" t="s">
        <v>16</v>
      </c>
    </row>
    <row r="16" hidden="1" spans="3:6" x14ac:dyDescent="0.25">
      <c r="C16" t="s">
        <v>17</v>
      </c>
      <c r="D16" s="2">
        <f>IF(F16&gt;0,F16,0)</f>
        <v>0</v>
      </c>
      <c r="E16" s="1">
        <f>IF(F16&lt;0,-F16,0)</f>
        <v>0</v>
      </c>
      <c r="F16" s="1">
        <f>IFERROR(VLOOKUP(C16,$C$228:$D$315,2,FALSE),0)</f>
        <v>0</v>
      </c>
    </row>
    <row r="17" spans="3:6" x14ac:dyDescent="0.25">
      <c r="C17" t="s">
        <v>18</v>
      </c>
      <c r="D17" s="2">
        <f>IF(F17&gt;0,F17,0)</f>
        <v>532.771031159813</v>
      </c>
      <c r="E17" s="1">
        <f>IF(F17&lt;0,-F17,0)</f>
        <v>0</v>
      </c>
      <c r="F17" s="1">
        <f>IFERROR(VLOOKUP(C17,$C$228:$D$315,2,FALSE),0)</f>
        <v>532.771031159813</v>
      </c>
    </row>
    <row r="18" spans="3:6" x14ac:dyDescent="0.25">
      <c r="C18" t="s">
        <v>19</v>
      </c>
      <c r="D18" s="2">
        <f>IF(F18&gt;0,F18,0)</f>
        <v>96140.96345638469</v>
      </c>
      <c r="E18" s="1">
        <f>IF(F18&lt;0,-F18,0)</f>
        <v>0</v>
      </c>
      <c r="F18" s="1">
        <f>IFERROR(VLOOKUP(C18,$C$228:$D$315,2,FALSE),0)</f>
        <v>96140.96345638469</v>
      </c>
    </row>
    <row r="19" spans="3:6" x14ac:dyDescent="0.25">
      <c r="C19" t="s">
        <v>20</v>
      </c>
      <c r="D19" s="2">
        <f>IF(F19&gt;0,F19,0)</f>
        <v>5457.478228925522</v>
      </c>
      <c r="E19" s="1">
        <f>IF(F19&lt;0,-F19,0)</f>
        <v>0</v>
      </c>
      <c r="F19" s="1">
        <f>IFERROR(VLOOKUP(C19,$C$228:$D$315,2,FALSE),0)</f>
        <v>5457.478228925522</v>
      </c>
    </row>
    <row r="20" spans="3:6" x14ac:dyDescent="0.25">
      <c r="C20" t="s">
        <v>21</v>
      </c>
      <c r="D20" s="2">
        <f>IF(F20&gt;0,F20,0)</f>
        <v>2387.6467251549157</v>
      </c>
      <c r="E20" s="1">
        <f>IF(F20&lt;0,-F20,0)</f>
        <v>0</v>
      </c>
      <c r="F20" s="1">
        <f>IFERROR(VLOOKUP(C20,$C$228:$D$315,2,FALSE),0)</f>
        <v>2387.6467251549157</v>
      </c>
    </row>
    <row r="21" hidden="1" spans="3:6" x14ac:dyDescent="0.25">
      <c r="C21" t="s">
        <v>22</v>
      </c>
      <c r="D21" s="2">
        <f>IF(F21&gt;0,F21,0)</f>
        <v>0</v>
      </c>
      <c r="E21" s="1">
        <f>IF(F21&lt;0,-F21,0)</f>
        <v>0</v>
      </c>
      <c r="F21" s="1">
        <f>IFERROR(VLOOKUP(C21,$C$228:$D$315,2,FALSE),0)</f>
        <v>0</v>
      </c>
    </row>
    <row r="22" spans="3:6" x14ac:dyDescent="0.25">
      <c r="C22" t="s">
        <v>23</v>
      </c>
      <c r="D22" s="2">
        <f>IF(F22&gt;0,F22,0)</f>
        <v>682.1847786156902</v>
      </c>
      <c r="E22" s="1">
        <f>IF(F22&lt;0,-F22,0)</f>
        <v>0</v>
      </c>
      <c r="F22" s="1">
        <f>IFERROR(VLOOKUP(C22,$C$228:$D$315,2,FALSE),0)</f>
        <v>682.1847786156902</v>
      </c>
    </row>
    <row r="23" spans="3:6" x14ac:dyDescent="0.25">
      <c r="C23" t="s">
        <v>24</v>
      </c>
      <c r="D23" s="2">
        <f>IF(F23&gt;0,F23,0)</f>
        <v>56508.601122125736</v>
      </c>
      <c r="E23" s="1">
        <f>IF(F23&lt;0,-F23,0)</f>
        <v>0</v>
      </c>
      <c r="F23" s="1">
        <f>IFERROR(VLOOKUP(C23,$C$228:$D$315,2,FALSE),0)</f>
        <v>56508.601122125736</v>
      </c>
    </row>
    <row r="24" spans="3:6" x14ac:dyDescent="0.25">
      <c r="C24" t="s">
        <v>25</v>
      </c>
      <c r="D24" s="2">
        <f>IF(F24&gt;0,F24,0)</f>
        <v>9.834921516346682</v>
      </c>
      <c r="E24" s="1">
        <f>IF(F24&lt;0,-F24,0)</f>
        <v>0</v>
      </c>
      <c r="F24" s="1">
        <f>IFERROR(VLOOKUP(C24,$C$228:$D$315,2,FALSE),0)</f>
        <v>9.834921516346682</v>
      </c>
    </row>
    <row r="25" hidden="1" spans="3:6" x14ac:dyDescent="0.25">
      <c r="C25" t="s">
        <v>26</v>
      </c>
      <c r="D25" s="2">
        <f>IF(F25&gt;0,F25,0)</f>
        <v>0</v>
      </c>
      <c r="E25" s="1">
        <f>IF(F25&lt;0,-F25,0)</f>
        <v>0</v>
      </c>
      <c r="F25" s="1">
        <f>IFERROR(VLOOKUP(C25,$C$228:$D$315,2,FALSE),0)</f>
        <v>0</v>
      </c>
    </row>
    <row r="26" spans="3:6" x14ac:dyDescent="0.25">
      <c r="C26" t="s">
        <v>27</v>
      </c>
      <c r="D26" s="2">
        <f>IF(F26&gt;0,F26,0)</f>
        <v>61778.081096079935</v>
      </c>
      <c r="E26" s="1">
        <f>IF(F26&lt;0,-F26,0)</f>
        <v>0</v>
      </c>
      <c r="F26" s="1">
        <f>IFERROR(VLOOKUP(C26,$C$228:$D$315,2,FALSE),0)</f>
        <v>61778.081096079935</v>
      </c>
    </row>
    <row r="27" hidden="1" spans="3:6" x14ac:dyDescent="0.25">
      <c r="C27" t="s">
        <v>28</v>
      </c>
      <c r="D27" s="2">
        <f>IF(F27&gt;0,F27,0)</f>
        <v>0</v>
      </c>
      <c r="E27" s="1">
        <f>IF(F27&lt;0,-F27,0)</f>
        <v>0</v>
      </c>
      <c r="F27" s="1">
        <f>IFERROR(VLOOKUP(C27,$C$228:$D$315,2,FALSE),0)</f>
        <v>0</v>
      </c>
    </row>
    <row r="28" hidden="1" spans="3:6" x14ac:dyDescent="0.25">
      <c r="C28" t="s">
        <v>29</v>
      </c>
      <c r="D28" s="2">
        <f>IF(F28&gt;0,F28,0)</f>
        <v>0</v>
      </c>
      <c r="E28" s="1">
        <f>IF(F28&lt;0,-F28,0)</f>
        <v>0</v>
      </c>
      <c r="F28" s="1">
        <f>IFERROR(VLOOKUP(C28,$C$228:$D$315,2,FALSE),0)</f>
        <v>0</v>
      </c>
    </row>
    <row r="29" spans="3:6" x14ac:dyDescent="0.25">
      <c r="C29" t="s">
        <v>30</v>
      </c>
      <c r="D29" s="2">
        <f>IF(F29&gt;0,F29,0)</f>
        <v>2572.141176775565</v>
      </c>
      <c r="E29" s="1">
        <f>IF(F29&lt;0,-F29,0)</f>
        <v>0</v>
      </c>
      <c r="F29" s="1">
        <f>IFERROR(VLOOKUP(C29,$C$228:$D$315,2,FALSE),0)</f>
        <v>2572.141176775565</v>
      </c>
    </row>
    <row r="30" spans="3:6" x14ac:dyDescent="0.25">
      <c r="C30" t="s">
        <v>31</v>
      </c>
      <c r="D30" s="2">
        <f>IF(F30&gt;0,F30,0)</f>
        <v>9937.407772881586</v>
      </c>
      <c r="E30" s="1">
        <f>IF(F30&lt;0,-F30,0)</f>
        <v>0</v>
      </c>
      <c r="F30" s="1">
        <f>IFERROR(VLOOKUP(C30,$C$228:$D$315,2,FALSE),0)</f>
        <v>9937.407772881586</v>
      </c>
    </row>
    <row r="31" spans="3:6" x14ac:dyDescent="0.25">
      <c r="C31" t="s">
        <v>32</v>
      </c>
      <c r="D31" s="2">
        <f>IF(F31&gt;0,F31,0)</f>
        <v>303.2669829047905</v>
      </c>
      <c r="E31" s="1">
        <f>IF(F31&lt;0,-F31,0)</f>
        <v>0</v>
      </c>
      <c r="F31" s="1">
        <f>IFERROR(VLOOKUP(C31,$C$228:$D$315,2,FALSE),0)</f>
        <v>303.2669829047905</v>
      </c>
    </row>
    <row r="32" spans="3:6" x14ac:dyDescent="0.25">
      <c r="C32" t="s">
        <v>33</v>
      </c>
      <c r="D32" s="2">
        <f>IF(F32&gt;0,F32,0)</f>
        <v>888.6969486215945</v>
      </c>
      <c r="E32" s="1">
        <f>IF(F32&lt;0,-F32,0)</f>
        <v>0</v>
      </c>
      <c r="F32" s="1">
        <f>IFERROR(VLOOKUP(C32,$C$228:$D$315,2,FALSE),0)</f>
        <v>888.6969486215945</v>
      </c>
    </row>
    <row r="33" spans="3:6" x14ac:dyDescent="0.25">
      <c r="C33" t="s">
        <v>34</v>
      </c>
      <c r="D33" s="2">
        <f>IF(F33&gt;0,F33,0)</f>
        <v>65735.0037196125</v>
      </c>
      <c r="E33" s="1">
        <f>IF(F33&lt;0,-F33,0)</f>
        <v>0</v>
      </c>
      <c r="F33" s="1">
        <f>IFERROR(VLOOKUP(C33,$C$228:$D$315,2,FALSE),0)</f>
        <v>65735.0037196125</v>
      </c>
    </row>
    <row r="34" spans="3:6" x14ac:dyDescent="0.25">
      <c r="C34" t="s">
        <v>35</v>
      </c>
      <c r="D34" s="2">
        <f>IF(F34&gt;0,F34,0)</f>
        <v>9663.398637745217</v>
      </c>
      <c r="E34" s="1">
        <f>IF(F34&lt;0,-F34,0)</f>
        <v>0</v>
      </c>
      <c r="F34" s="1">
        <f>IFERROR(VLOOKUP(C34,$C$228:$D$315,2,FALSE),0)</f>
        <v>9663.398637745217</v>
      </c>
    </row>
    <row r="35" spans="3:6" x14ac:dyDescent="0.25">
      <c r="C35" t="s">
        <v>36</v>
      </c>
      <c r="D35" s="2">
        <f>IF(F35&gt;0,F35,0)</f>
        <v>32628.728063069346</v>
      </c>
      <c r="E35" s="1">
        <f>IF(F35&lt;0,-F35,0)</f>
        <v>0</v>
      </c>
      <c r="F35" s="1">
        <f>IFERROR(VLOOKUP(C35,$C$228:$D$315,2,FALSE),0)</f>
        <v>32628.728063069346</v>
      </c>
    </row>
    <row r="36" spans="3:6" x14ac:dyDescent="0.25">
      <c r="C36" t="s">
        <v>37</v>
      </c>
      <c r="D36" s="2">
        <f>IF(F36&gt;0,F36,0)</f>
        <v>1256.7771476285382</v>
      </c>
      <c r="E36" s="1">
        <f>IF(F36&lt;0,-F36,0)</f>
        <v>0</v>
      </c>
      <c r="F36" s="1">
        <f>IFERROR(VLOOKUP(C36,$C$228:$D$315,2,FALSE),0)</f>
        <v>1256.7771476285382</v>
      </c>
    </row>
    <row r="37" hidden="1" spans="3:6" x14ac:dyDescent="0.25">
      <c r="C37" t="s">
        <v>38</v>
      </c>
      <c r="D37" s="2">
        <f>IF(F37&gt;0,F37,0)</f>
        <v>0</v>
      </c>
      <c r="E37" s="1">
        <f>IF(F37&lt;0,-F37,0)</f>
        <v>0</v>
      </c>
      <c r="F37" s="1">
        <f>IFERROR(VLOOKUP(C37,$C$228:$D$315,2,FALSE),0)</f>
        <v>0</v>
      </c>
    </row>
    <row r="38" spans="3:6" x14ac:dyDescent="0.25">
      <c r="C38" t="s">
        <v>39</v>
      </c>
      <c r="D38" s="2">
        <f>IF(F38&gt;0,F38,0)</f>
        <v>567044.3127107738</v>
      </c>
      <c r="E38" s="1">
        <f>IF(F38&lt;0,-F38,0)</f>
        <v>0</v>
      </c>
      <c r="F38" s="1">
        <f>IFERROR(VLOOKUP(C38,$C$228:$D$315,2,FALSE),0)</f>
        <v>567044.3127107738</v>
      </c>
    </row>
    <row r="39" spans="3:6" x14ac:dyDescent="0.25">
      <c r="C39" t="s">
        <v>40</v>
      </c>
      <c r="D39" s="2">
        <f>IF(F39&gt;0,F39,0)</f>
        <v>0</v>
      </c>
      <c r="E39" s="1">
        <f>IF(F39&lt;0,-F39,0)</f>
        <v>2572.141176775565</v>
      </c>
      <c r="F39" s="1">
        <f>IFERROR(VLOOKUP(C39,$C$228:$D$315,2,FALSE),0)</f>
        <v>-2572.141176775565</v>
      </c>
    </row>
    <row r="40" spans="3:6" x14ac:dyDescent="0.25">
      <c r="C40" t="s">
        <v>41</v>
      </c>
      <c r="D40" s="2">
        <f>IF(F40&gt;0,F40,0)</f>
        <v>0</v>
      </c>
      <c r="E40" s="1">
        <f>IF(F40&lt;0,-F40,0)</f>
        <v>9419.461128599676</v>
      </c>
      <c r="F40" s="1">
        <f>IFERROR(VLOOKUP(C40,$C$228:$D$315,2,FALSE),0)</f>
        <v>-9419.461128599676</v>
      </c>
    </row>
    <row r="41" spans="3:6" x14ac:dyDescent="0.25">
      <c r="C41" t="s">
        <v>42</v>
      </c>
      <c r="D41" s="2">
        <f>IF(F41&gt;0,F41,0)</f>
        <v>0</v>
      </c>
      <c r="E41" s="1">
        <f>IF(F41&lt;0,-F41,0)</f>
        <v>9663.398637745217</v>
      </c>
      <c r="F41" s="1">
        <f>IFERROR(VLOOKUP(C41,$C$228:$D$315,2,FALSE),0)</f>
        <v>-9663.398637745217</v>
      </c>
    </row>
    <row r="42" spans="3:6" x14ac:dyDescent="0.25">
      <c r="C42" t="s">
        <v>43</v>
      </c>
      <c r="D42" s="2">
        <f>IF(F42&gt;0,F42,0)</f>
        <v>0</v>
      </c>
      <c r="E42" s="1">
        <f>IF(F42&lt;0,-F42,0)</f>
        <v>33885.50521069789</v>
      </c>
      <c r="F42" s="1">
        <f>IFERROR(VLOOKUP(C42,$C$228:$D$315,2,FALSE),0)</f>
        <v>-33885.50521069789</v>
      </c>
    </row>
    <row r="43" spans="3:6" x14ac:dyDescent="0.25">
      <c r="C43" t="s">
        <v>44</v>
      </c>
      <c r="D43" s="2">
        <f>IF(F43&gt;0,F43,0)</f>
        <v>0</v>
      </c>
      <c r="E43" s="1">
        <f>IF(F43&lt;0,-F43,0)</f>
        <v>1191.963931526385</v>
      </c>
      <c r="F43" s="1">
        <f>IFERROR(VLOOKUP(C43,$C$228:$D$315,2,FALSE),0)</f>
        <v>-1191.963931526385</v>
      </c>
    </row>
    <row r="44" spans="3:6" x14ac:dyDescent="0.25">
      <c r="C44" t="s">
        <v>45</v>
      </c>
      <c r="D44" s="2">
        <f>IF(F44&gt;0,F44,0)</f>
        <v>0</v>
      </c>
      <c r="E44" s="1">
        <f>IF(F44&lt;0,-F44,0)</f>
        <v>59281.18285383134</v>
      </c>
      <c r="F44" s="1">
        <f>IFERROR(VLOOKUP(C44,$C$228:$D$315,2,FALSE),0)</f>
        <v>-59281.18285383134</v>
      </c>
    </row>
    <row r="45" spans="3:6" x14ac:dyDescent="0.25">
      <c r="C45" t="s">
        <v>46</v>
      </c>
      <c r="D45" s="2">
        <f>IF(F45&gt;0,F45,0)</f>
        <v>0</v>
      </c>
      <c r="E45" s="1">
        <f>IF(F45&lt;0,-F45,0)</f>
        <v>309747.97887410177</v>
      </c>
      <c r="F45" s="1">
        <f>IFERROR(VLOOKUP(C45,$C$228:$D$315,2,FALSE),0)</f>
        <v>-309747.97887410177</v>
      </c>
    </row>
    <row r="46" spans="6:6" x14ac:dyDescent="0.25">
      <c r="F46" s="1">
        <f>SUM(F7:F45)</f>
        <v>-884362.580902851</v>
      </c>
    </row>
    <row r="47" spans="2:2" x14ac:dyDescent="0.25">
      <c r="B47" t="s">
        <v>47</v>
      </c>
    </row>
    <row r="48" hidden="1" spans="3:6" x14ac:dyDescent="0.25">
      <c r="C48" t="s">
        <v>48</v>
      </c>
      <c r="D48" s="2">
        <f>IF(F48&gt;0,F48,0)</f>
        <v>0</v>
      </c>
      <c r="E48" s="2">
        <f>IF(F48&lt;0,-F48,0)</f>
        <v>0</v>
      </c>
      <c r="F48" s="1">
        <f>IFERROR(VLOOKUP(C48,$C$228:$D$315,2,FALSE),0)</f>
        <v>0</v>
      </c>
    </row>
    <row r="49" hidden="1" spans="3:6" x14ac:dyDescent="0.25">
      <c r="C49" t="s">
        <v>49</v>
      </c>
      <c r="D49" s="2">
        <f>IF(F49&gt;0,F49,0)</f>
        <v>0</v>
      </c>
      <c r="E49" s="2">
        <f>IF(F49&lt;0,-F49,0)</f>
        <v>0</v>
      </c>
      <c r="F49" s="1">
        <f>IFERROR(VLOOKUP(C49,$C$228:$D$315,2,FALSE),0)</f>
        <v>0</v>
      </c>
    </row>
    <row r="50" hidden="1" spans="3:6" x14ac:dyDescent="0.25">
      <c r="C50" t="s">
        <v>50</v>
      </c>
      <c r="D50" s="2">
        <f>IF(F50&gt;0,F50,0)</f>
        <v>0</v>
      </c>
      <c r="E50" s="2">
        <f>IF(F50&lt;0,-F50,0)</f>
        <v>0</v>
      </c>
      <c r="F50" s="1">
        <f>IFERROR(VLOOKUP(C50,$C$228:$D$315,2,FALSE),0)</f>
        <v>0</v>
      </c>
    </row>
    <row r="51" hidden="1" spans="3:6" x14ac:dyDescent="0.25">
      <c r="C51" t="s">
        <v>51</v>
      </c>
      <c r="D51" s="2">
        <f>IF(F51&gt;0,F51,0)</f>
        <v>0</v>
      </c>
      <c r="E51" s="2">
        <f>IF(F51&lt;0,-F51,0)</f>
        <v>0</v>
      </c>
      <c r="F51" s="1">
        <f>IFERROR(VLOOKUP(C51,$C$228:$D$315,2,FALSE),0)</f>
        <v>0</v>
      </c>
    </row>
    <row r="52" hidden="1" spans="3:6" x14ac:dyDescent="0.25">
      <c r="C52" t="s">
        <v>52</v>
      </c>
      <c r="D52" s="2">
        <f>IF(F52&gt;0,F52,0)</f>
        <v>0</v>
      </c>
      <c r="E52" s="2">
        <f>IF(F52&lt;0,-F52,0)</f>
        <v>0</v>
      </c>
      <c r="F52" s="1">
        <f>IFERROR(VLOOKUP(C52,$C$228:$D$315,2,FALSE),0)</f>
        <v>0</v>
      </c>
    </row>
    <row r="53" hidden="1" spans="3:6" x14ac:dyDescent="0.25">
      <c r="C53" t="s">
        <v>53</v>
      </c>
      <c r="D53" s="2">
        <f>IF(F53&gt;0,F53,0)</f>
        <v>0</v>
      </c>
      <c r="E53" s="2">
        <f>IF(F53&lt;0,-F53,0)</f>
        <v>0</v>
      </c>
      <c r="F53" s="1">
        <f>IFERROR(VLOOKUP(C53,$C$228:$D$315,2,FALSE),0)</f>
        <v>0</v>
      </c>
    </row>
    <row r="54" hidden="1" spans="3:6" x14ac:dyDescent="0.25">
      <c r="C54" t="s">
        <v>54</v>
      </c>
      <c r="D54" s="2">
        <f>IF(F54&gt;0,F54,0)</f>
        <v>0</v>
      </c>
      <c r="E54" s="2">
        <f>IF(F54&lt;0,-F54,0)</f>
        <v>0</v>
      </c>
      <c r="F54" s="1">
        <f>IFERROR(VLOOKUP(C54,$C$228:$D$315,2,FALSE),0)</f>
        <v>0</v>
      </c>
    </row>
    <row r="55" spans="3:6" x14ac:dyDescent="0.25">
      <c r="C55" t="s">
        <v>55</v>
      </c>
      <c r="D55" s="2">
        <f>IF(F55&gt;0,F55,0)</f>
        <v>0</v>
      </c>
      <c r="E55" s="2">
        <f>IF(F55&lt;0,-F55,0)</f>
        <v>2870.8206034811205</v>
      </c>
      <c r="F55" s="1">
        <f>IFERROR(VLOOKUP(C55,$C$228:$D$315,2,FALSE),0)</f>
        <v>-2870.8206034811205</v>
      </c>
    </row>
    <row r="56" hidden="1" spans="3:6" x14ac:dyDescent="0.25">
      <c r="C56" t="s">
        <v>56</v>
      </c>
      <c r="D56" s="2">
        <f>IF(F56&gt;0,F56,0)</f>
        <v>0</v>
      </c>
      <c r="E56" s="2">
        <f>IF(F56&lt;0,-F56,0)</f>
        <v>0</v>
      </c>
      <c r="F56" s="1">
        <f>IFERROR(VLOOKUP(C56,$C$228:$D$315,2,FALSE),0)</f>
        <v>0</v>
      </c>
    </row>
    <row r="57" hidden="1" spans="3:6" x14ac:dyDescent="0.25">
      <c r="C57" t="s">
        <v>57</v>
      </c>
      <c r="D57" s="2">
        <f>IF(F57&gt;0,F57,0)</f>
        <v>0</v>
      </c>
      <c r="E57" s="2">
        <f>IF(F57&lt;0,-F57,0)</f>
        <v>0</v>
      </c>
      <c r="F57" s="1">
        <f>IFERROR(VLOOKUP(C57,$C$228:$D$315,2,FALSE),0)</f>
        <v>0</v>
      </c>
    </row>
    <row r="58" spans="3:6" x14ac:dyDescent="0.25">
      <c r="C58" t="s">
        <v>58</v>
      </c>
      <c r="D58" s="2">
        <f>IF(F58&gt;0,F58,0)</f>
        <v>0</v>
      </c>
      <c r="E58" s="2">
        <f>IF(F58&lt;0,-F58,0)</f>
        <v>22.17100530500993</v>
      </c>
      <c r="F58" s="1">
        <f>IFERROR(VLOOKUP(C58,$C$228:$D$315,2,FALSE),0)</f>
        <v>-22.17100530500993</v>
      </c>
    </row>
    <row r="59" spans="3:6" x14ac:dyDescent="0.25">
      <c r="C59" t="s">
        <v>59</v>
      </c>
      <c r="D59" s="2">
        <f>IF(F59&gt;0,F59,0)</f>
        <v>0</v>
      </c>
      <c r="E59" s="2">
        <f>IF(F59&lt;0,-F59,0)</f>
        <v>44421.53592538536</v>
      </c>
      <c r="F59" s="1">
        <f>IFERROR(VLOOKUP(C59,$C$228:$D$315,2,FALSE),0)</f>
        <v>-44421.53592538536</v>
      </c>
    </row>
    <row r="60" hidden="1" spans="3:6" x14ac:dyDescent="0.25">
      <c r="C60" t="s">
        <v>60</v>
      </c>
      <c r="D60" s="2">
        <f>IF(F60&gt;0,F60,0)</f>
        <v>0</v>
      </c>
      <c r="E60" s="2">
        <f>IF(F60&lt;0,-F60,0)</f>
        <v>0</v>
      </c>
      <c r="F60" s="1">
        <f>IFERROR(VLOOKUP(C60,$C$228:$D$315,2,FALSE),0)</f>
        <v>0</v>
      </c>
    </row>
    <row r="61" hidden="1" spans="3:6" x14ac:dyDescent="0.25">
      <c r="C61" t="s">
        <v>61</v>
      </c>
      <c r="D61" s="2">
        <f>IF(F61&gt;0,F61,0)</f>
        <v>0</v>
      </c>
      <c r="E61" s="2">
        <f>IF(F61&lt;0,-F61,0)</f>
        <v>0</v>
      </c>
      <c r="F61" s="1">
        <f>IFERROR(VLOOKUP(C61,$C$228:$D$315,2,FALSE),0)</f>
        <v>0</v>
      </c>
    </row>
    <row r="62" spans="3:6" x14ac:dyDescent="0.25">
      <c r="C62" t="s">
        <v>62</v>
      </c>
      <c r="D62" s="2">
        <f>IF(F62&gt;0,F62,0)</f>
        <v>0</v>
      </c>
      <c r="E62" s="2">
        <f>IF(F62&lt;0,-F62,0)</f>
        <v>719.9798619053353</v>
      </c>
      <c r="F62" s="1">
        <f>IFERROR(VLOOKUP(C62,$C$228:$D$315,2,FALSE),0)</f>
        <v>-719.9798619053353</v>
      </c>
    </row>
    <row r="63" spans="3:6" x14ac:dyDescent="0.25">
      <c r="C63" t="s">
        <v>63</v>
      </c>
      <c r="D63" s="2">
        <f>IF(F63&gt;0,F63,0)</f>
        <v>0.3410923893078451</v>
      </c>
      <c r="E63" s="2">
        <f>IF(F63&lt;0,-F63,0)</f>
        <v>0</v>
      </c>
      <c r="F63" s="1">
        <f>IFERROR(VLOOKUP(C63,$C$228:$D$315,2,FALSE),0)</f>
        <v>0.3410923893078451</v>
      </c>
    </row>
    <row r="64" spans="3:6" x14ac:dyDescent="0.25">
      <c r="C64" t="s">
        <v>64</v>
      </c>
      <c r="D64" s="2">
        <f>IF(F64&gt;0,F64,0)</f>
        <v>2.0465543358470706</v>
      </c>
      <c r="E64" s="2">
        <f>IF(F64&lt;0,-F64,0)</f>
        <v>0</v>
      </c>
      <c r="F64" s="1">
        <f>IFERROR(VLOOKUP(C64,$C$228:$D$315,2,FALSE),0)</f>
        <v>2.0465543358470706</v>
      </c>
    </row>
    <row r="65" spans="3:6" x14ac:dyDescent="0.25">
      <c r="C65" t="s">
        <v>65</v>
      </c>
      <c r="D65" s="2">
        <f>IF(F65&gt;0,F65,0)</f>
        <v>0</v>
      </c>
      <c r="E65" s="2">
        <f>IF(F65&lt;0,-F65,0)</f>
        <v>27115.82167280576</v>
      </c>
      <c r="F65" s="1">
        <f>IFERROR(VLOOKUP(C65,$C$228:$D$315,2,FALSE),0)</f>
        <v>-27115.82167280576</v>
      </c>
    </row>
    <row r="66" hidden="1" spans="3:6" x14ac:dyDescent="0.25">
      <c r="C66" t="s">
        <v>66</v>
      </c>
      <c r="D66" s="2">
        <f>IF(F66&gt;0,F66,0)</f>
        <v>0</v>
      </c>
      <c r="E66" s="2">
        <f>IF(F66&lt;0,-F66,0)</f>
        <v>0</v>
      </c>
      <c r="F66" s="1">
        <f>IFERROR(VLOOKUP(C66,$C$228:$D$315,2,FALSE),0)</f>
        <v>0</v>
      </c>
    </row>
    <row r="67" hidden="1" spans="3:6" x14ac:dyDescent="0.25">
      <c r="C67" t="s">
        <v>67</v>
      </c>
      <c r="D67" s="2">
        <f>IF(F67&gt;0,F67,0)</f>
        <v>0</v>
      </c>
      <c r="E67" s="2">
        <f>IF(F67&lt;0,-F67,0)</f>
        <v>0</v>
      </c>
      <c r="F67" s="1">
        <f>IFERROR(VLOOKUP(C67,$C$228:$D$315,2,FALSE),0)</f>
        <v>0</v>
      </c>
    </row>
    <row r="68" hidden="1" spans="3:6" x14ac:dyDescent="0.25">
      <c r="C68" t="s">
        <v>68</v>
      </c>
      <c r="D68" s="2">
        <f>IF(F68&gt;0,F68,0)</f>
        <v>0</v>
      </c>
      <c r="E68" s="2">
        <f>IF(F68&lt;0,-F68,0)</f>
        <v>0</v>
      </c>
      <c r="F68" s="1">
        <f>IFERROR(VLOOKUP(C68,$C$228:$D$315,2,FALSE),0)</f>
        <v>0</v>
      </c>
    </row>
    <row r="69" hidden="1" spans="3:7" x14ac:dyDescent="0.25">
      <c r="C69" t="s">
        <v>69</v>
      </c>
      <c r="D69" s="2">
        <f>IF(F69&gt;0,F69,0)</f>
        <v>7608.57216338189</v>
      </c>
      <c r="E69" s="2">
        <f>IF(F69&lt;0,-F69,0)</f>
        <v>0</v>
      </c>
      <c r="F69" s="1">
        <f>IFERROR(VLOOKUP(C69,$C$228:$D$315,2,FALSE),0)</f>
        <v>7608.57216338189</v>
      </c>
      <c r="G69" s="3" t="s">
        <v>16</v>
      </c>
    </row>
    <row r="70" spans="3:6" x14ac:dyDescent="0.25">
      <c r="C70" t="s">
        <v>70</v>
      </c>
      <c r="D70" s="2">
        <f>IF(F70&gt;0,F70,0)</f>
        <v>0</v>
      </c>
      <c r="E70" s="2">
        <f>IF(F70&lt;0,-F70,0)</f>
        <v>122.79326015082422</v>
      </c>
      <c r="F70" s="1">
        <f>IFERROR(VLOOKUP(C70,$C$228:$D$315,2,FALSE),0)</f>
        <v>-122.79326015082422</v>
      </c>
    </row>
    <row r="71" hidden="1" spans="3:6" x14ac:dyDescent="0.25">
      <c r="C71" t="s">
        <v>71</v>
      </c>
      <c r="D71" s="2">
        <f>IF(F71&gt;0,F71,0)</f>
        <v>0</v>
      </c>
      <c r="E71" s="2">
        <f>IF(F71&lt;0,-F71,0)</f>
        <v>0</v>
      </c>
      <c r="F71" s="1">
        <f>IFERROR(VLOOKUP(C71,$C$228:$D$315,2,FALSE),0)</f>
        <v>0</v>
      </c>
    </row>
    <row r="72" hidden="1" spans="3:6" x14ac:dyDescent="0.25">
      <c r="C72" t="s">
        <v>72</v>
      </c>
      <c r="D72" s="2">
        <f>IF(F72&gt;0,F72,0)</f>
        <v>0</v>
      </c>
      <c r="E72" s="2">
        <f>IF(F72&lt;0,-F72,0)</f>
        <v>0</v>
      </c>
      <c r="F72" s="1">
        <f>IFERROR(VLOOKUP(C72,$C$228:$D$315,2,FALSE),0)</f>
        <v>0</v>
      </c>
    </row>
    <row r="73" hidden="1" spans="3:6" x14ac:dyDescent="0.25">
      <c r="C73" t="s">
        <v>73</v>
      </c>
      <c r="D73" s="2">
        <f>IF(F73&gt;0,F73,0)</f>
        <v>0</v>
      </c>
      <c r="E73" s="2">
        <f>IF(F73&lt;0,-F73,0)</f>
        <v>0</v>
      </c>
      <c r="F73" s="1">
        <f>IFERROR(VLOOKUP(C73,$C$228:$D$315,2,FALSE),0)</f>
        <v>0</v>
      </c>
    </row>
    <row r="74" spans="3:6" x14ac:dyDescent="0.25">
      <c r="C74" t="s">
        <v>74</v>
      </c>
      <c r="D74" s="2">
        <f>IF(F74&gt;0,F74,0)</f>
        <v>0</v>
      </c>
      <c r="E74" s="2">
        <f>IF(F74&lt;0,-F74,0)</f>
        <v>46146.18483046174</v>
      </c>
      <c r="F74" s="1">
        <f>IFERROR(VLOOKUP(C74,$C$228:$D$315,2,FALSE),0)</f>
        <v>-46146.18483046174</v>
      </c>
    </row>
    <row r="75" spans="3:6" x14ac:dyDescent="0.25">
      <c r="C75" t="s">
        <v>75</v>
      </c>
      <c r="D75" s="2">
        <f>IF(F75&gt;0,F75,0)</f>
        <v>0</v>
      </c>
      <c r="E75" s="2">
        <f>IF(F75&lt;0,-F75,0)</f>
        <v>2887.9379839461453</v>
      </c>
      <c r="F75" s="1">
        <f>IFERROR(VLOOKUP(C75,$C$228:$D$315,2,FALSE),0)</f>
        <v>-2887.9379839461453</v>
      </c>
    </row>
    <row r="76" spans="3:6" x14ac:dyDescent="0.25">
      <c r="C76" t="s">
        <v>76</v>
      </c>
      <c r="D76" s="2">
        <f>IF(F76&gt;0,F76,0)</f>
        <v>0</v>
      </c>
      <c r="E76" s="2">
        <f>IF(F76&lt;0,-F76,0)</f>
        <v>2005.011772803817</v>
      </c>
      <c r="F76" s="1">
        <f>IFERROR(VLOOKUP(C76,$C$228:$D$315,2,FALSE),0)</f>
        <v>-2005.011772803817</v>
      </c>
    </row>
    <row r="77" spans="3:6" x14ac:dyDescent="0.25">
      <c r="C77" t="s">
        <v>77</v>
      </c>
      <c r="D77" s="2">
        <f>IF(F77&gt;0,F77,0)</f>
        <v>203.53504741354757</v>
      </c>
      <c r="E77" s="2">
        <f>IF(F77&lt;0,-F77,0)</f>
        <v>0</v>
      </c>
      <c r="F77" s="1">
        <f>IFERROR(VLOOKUP(C77,$C$228:$D$315,2,FALSE),0)</f>
        <v>203.53504741354757</v>
      </c>
    </row>
    <row r="78" hidden="1" spans="3:6" x14ac:dyDescent="0.25">
      <c r="C78" t="s">
        <v>78</v>
      </c>
      <c r="D78" s="2">
        <f>IF(F78&gt;0,F78,0)</f>
        <v>0</v>
      </c>
      <c r="E78" s="2">
        <f>IF(F78&lt;0,-F78,0)</f>
        <v>0</v>
      </c>
      <c r="F78" s="1">
        <f>IFERROR(VLOOKUP(C78,$C$228:$D$315,2,FALSE),0)</f>
        <v>0</v>
      </c>
    </row>
    <row r="79" hidden="1" spans="3:6" x14ac:dyDescent="0.25">
      <c r="C79" t="s">
        <v>79</v>
      </c>
      <c r="D79" s="2">
        <f>IF(F79&gt;0,F79,0)</f>
        <v>0</v>
      </c>
      <c r="E79" s="2">
        <f>IF(F79&lt;0,-F79,0)</f>
        <v>0</v>
      </c>
      <c r="F79" s="1">
        <f>IFERROR(VLOOKUP(C79,$C$228:$D$315,2,FALSE),0)</f>
        <v>0</v>
      </c>
    </row>
    <row r="80" hidden="1" spans="3:6" x14ac:dyDescent="0.25">
      <c r="C80" t="s">
        <v>80</v>
      </c>
      <c r="D80" s="2">
        <f>IF(F80&gt;0,F80,0)</f>
        <v>0</v>
      </c>
      <c r="E80" s="2">
        <f>IF(F80&lt;0,-F80,0)</f>
        <v>0</v>
      </c>
      <c r="F80" s="1">
        <f>IFERROR(VLOOKUP(C80,$C$228:$D$315,2,FALSE),0)</f>
        <v>0</v>
      </c>
    </row>
    <row r="81" hidden="1" spans="3:6" x14ac:dyDescent="0.25">
      <c r="C81" t="s">
        <v>81</v>
      </c>
      <c r="D81" s="2">
        <f>IF(F81&gt;0,F81,0)</f>
        <v>0</v>
      </c>
      <c r="E81" s="2">
        <f>IF(F81&lt;0,-F81,0)</f>
        <v>0</v>
      </c>
      <c r="F81" s="1">
        <f>IFERROR(VLOOKUP(C81,$C$228:$D$315,2,FALSE),0)</f>
        <v>0</v>
      </c>
    </row>
    <row r="82" spans="3:6" x14ac:dyDescent="0.25">
      <c r="C82" t="s">
        <v>82</v>
      </c>
      <c r="D82" s="2">
        <f>IF(F82&gt;0,F82,0)</f>
        <v>0</v>
      </c>
      <c r="E82" s="2">
        <f>IF(F82&lt;0,-F82,0)</f>
        <v>434488.60188617266</v>
      </c>
      <c r="F82" s="1">
        <f>IFERROR(VLOOKUP(C82,$C$228:$D$315,2,FALSE),0)</f>
        <v>-434488.60188617266</v>
      </c>
    </row>
    <row r="83" hidden="1" spans="3:6" x14ac:dyDescent="0.25">
      <c r="C83" t="s">
        <v>83</v>
      </c>
      <c r="D83" s="2">
        <f>IF(F83&gt;0,F83,0)</f>
        <v>0</v>
      </c>
      <c r="E83" s="2">
        <f>IF(F83&lt;0,-F83,0)</f>
        <v>0</v>
      </c>
      <c r="F83" s="1">
        <f>IFERROR(VLOOKUP(C83,$C$228:$D$315,2,FALSE),0)</f>
        <v>0</v>
      </c>
    </row>
    <row r="84" spans="3:6" x14ac:dyDescent="0.25">
      <c r="C84" t="s">
        <v>84</v>
      </c>
      <c r="D84" s="2">
        <f>IF(F84&gt;0,F84,0)</f>
        <v>0</v>
      </c>
      <c r="E84" s="2">
        <f>IF(F84&lt;0,-F84,0)</f>
        <v>2.060198031419384</v>
      </c>
      <c r="F84" s="1">
        <f>IFERROR(VLOOKUP(C84,$C$228:$D$315,2,FALSE),0)</f>
        <v>-2.060198031419384</v>
      </c>
    </row>
    <row r="85" hidden="1" spans="3:6" x14ac:dyDescent="0.25">
      <c r="C85" t="s">
        <v>85</v>
      </c>
      <c r="D85" s="2">
        <f>IF(F85&gt;0,F85,0)</f>
        <v>0</v>
      </c>
      <c r="E85" s="2">
        <f>IF(F85&lt;0,-F85,0)</f>
        <v>0</v>
      </c>
      <c r="F85" s="1">
        <f>IFERROR(VLOOKUP(C85,$C$228:$D$315,2,FALSE),0)</f>
        <v>0</v>
      </c>
    </row>
    <row r="86" spans="3:6" x14ac:dyDescent="0.25">
      <c r="C86" t="s">
        <v>86</v>
      </c>
      <c r="D86" s="2">
        <f>IF(F86&gt;0,F86,0)</f>
        <v>0</v>
      </c>
      <c r="E86" s="2">
        <f>IF(F86&lt;0,-F86,0)</f>
        <v>112.56048847158888</v>
      </c>
      <c r="F86" s="1">
        <f>IFERROR(VLOOKUP(C86,$C$228:$D$315,2,FALSE),0)</f>
        <v>-112.56048847158888</v>
      </c>
    </row>
    <row r="87" hidden="1" spans="3:6" x14ac:dyDescent="0.25">
      <c r="C87" t="s">
        <v>87</v>
      </c>
      <c r="D87" s="2">
        <f>IF(F87&gt;0,F87,0)</f>
        <v>0</v>
      </c>
      <c r="E87" s="2">
        <f>IF(F87&lt;0,-F87,0)</f>
        <v>0</v>
      </c>
      <c r="F87" s="1">
        <f>IFERROR(VLOOKUP(C87,$C$228:$D$315,2,FALSE),0)</f>
        <v>0</v>
      </c>
    </row>
    <row r="88" hidden="1" spans="3:6" x14ac:dyDescent="0.25">
      <c r="C88" t="s">
        <v>88</v>
      </c>
      <c r="D88" s="2">
        <f>IF(F88&gt;0,F88,0)</f>
        <v>0</v>
      </c>
      <c r="E88" s="2">
        <f>IF(F88&lt;0,-F88,0)</f>
        <v>0</v>
      </c>
      <c r="F88" s="1">
        <f>IFERROR(VLOOKUP(C88,$C$228:$D$315,2,FALSE),0)</f>
        <v>0</v>
      </c>
    </row>
    <row r="89" hidden="1" spans="3:6" x14ac:dyDescent="0.25">
      <c r="C89" t="s">
        <v>89</v>
      </c>
      <c r="D89" s="2">
        <f>IF(F89&gt;0,F89,0)</f>
        <v>0</v>
      </c>
      <c r="E89" s="2">
        <f>IF(F89&lt;0,-F89,0)</f>
        <v>0</v>
      </c>
      <c r="F89" s="1">
        <f>IFERROR(VLOOKUP(C89,$C$228:$D$315,2,FALSE),0)</f>
        <v>0</v>
      </c>
    </row>
    <row r="90" hidden="1" spans="3:6" x14ac:dyDescent="0.25">
      <c r="C90" t="s">
        <v>90</v>
      </c>
      <c r="D90" s="2">
        <f>IF(F90&gt;0,F90,0)</f>
        <v>0</v>
      </c>
      <c r="E90" s="2">
        <f>IF(F90&lt;0,-F90,0)</f>
        <v>0</v>
      </c>
      <c r="F90" s="1">
        <f>IFERROR(VLOOKUP(C90,$C$228:$D$315,2,FALSE),0)</f>
        <v>0</v>
      </c>
    </row>
    <row r="91" spans="3:6" x14ac:dyDescent="0.25">
      <c r="C91" t="s">
        <v>91</v>
      </c>
      <c r="D91" s="2">
        <f>IF(F91&gt;0,F91,0)</f>
        <v>0</v>
      </c>
      <c r="E91" s="2">
        <f>IF(F91&lt;0,-F91,0)</f>
        <v>6.821847786156901</v>
      </c>
      <c r="F91" s="1">
        <f>IFERROR(VLOOKUP(C91,$C$228:$D$315,2,FALSE),0)</f>
        <v>-6.821847786156901</v>
      </c>
    </row>
    <row r="92" hidden="1" spans="3:6" x14ac:dyDescent="0.25">
      <c r="C92" t="s">
        <v>92</v>
      </c>
      <c r="D92" s="2">
        <f>IF(F92&gt;0,F92,0)</f>
        <v>0</v>
      </c>
      <c r="E92" s="2">
        <f>IF(F92&lt;0,-F92,0)</f>
        <v>0</v>
      </c>
      <c r="F92" s="1">
        <f>IFERROR(VLOOKUP(C92,$C$228:$D$315,2,FALSE),0)</f>
        <v>0</v>
      </c>
    </row>
    <row r="93" hidden="1" spans="3:6" x14ac:dyDescent="0.25">
      <c r="C93" t="s">
        <v>93</v>
      </c>
      <c r="D93" s="2">
        <f>IF(F93&gt;0,F93,0)</f>
        <v>0</v>
      </c>
      <c r="E93" s="2">
        <f>IF(F93&lt;0,-F93,0)</f>
        <v>0</v>
      </c>
      <c r="F93" s="1">
        <f>IFERROR(VLOOKUP(C93,$C$228:$D$315,2,FALSE),0)</f>
        <v>0</v>
      </c>
    </row>
    <row r="94" hidden="1" spans="3:6" x14ac:dyDescent="0.25">
      <c r="C94" t="s">
        <v>94</v>
      </c>
      <c r="D94" s="2">
        <f>IF(F94&gt;0,F94,0)</f>
        <v>0</v>
      </c>
      <c r="E94" s="2">
        <f>IF(F94&lt;0,-F94,0)</f>
        <v>0</v>
      </c>
      <c r="F94" s="1">
        <f>IFERROR(VLOOKUP(C94,$C$228:$D$315,2,FALSE),0)</f>
        <v>0</v>
      </c>
    </row>
    <row r="95" hidden="1" spans="3:6" x14ac:dyDescent="0.25">
      <c r="C95" t="s">
        <v>95</v>
      </c>
      <c r="D95" s="2">
        <f>IF(F95&gt;0,F95,0)</f>
        <v>0</v>
      </c>
      <c r="E95" s="2">
        <f>IF(F95&lt;0,-F95,0)</f>
        <v>0</v>
      </c>
      <c r="F95" s="1">
        <f>IFERROR(VLOOKUP(C95,$C$228:$D$315,2,FALSE),0)</f>
        <v>0</v>
      </c>
    </row>
    <row r="96" spans="3:6" x14ac:dyDescent="0.25">
      <c r="C96" t="s">
        <v>96</v>
      </c>
      <c r="D96" s="2">
        <f>IF(F96&gt;0,F96,0)</f>
        <v>0</v>
      </c>
      <c r="E96" s="2">
        <f>IF(F96&lt;0,-F96,0)</f>
        <v>0.3410923893078451</v>
      </c>
      <c r="F96" s="1">
        <f>IFERROR(VLOOKUP(C96,$C$228:$D$315,2,FALSE),0)</f>
        <v>-0.3410923893078451</v>
      </c>
    </row>
    <row r="97" spans="3:6" x14ac:dyDescent="0.25">
      <c r="C97" t="s">
        <v>97</v>
      </c>
      <c r="D97" s="2">
        <f>IF(F97&gt;0,F97,0)</f>
        <v>0</v>
      </c>
      <c r="E97" s="2">
        <f>IF(F97&lt;0,-F97,0)</f>
        <v>56106.28711724744</v>
      </c>
      <c r="F97" s="1">
        <f>IFERROR(VLOOKUP(C97,$C$228:$D$315,2,FALSE),0)</f>
        <v>-56106.28711724744</v>
      </c>
    </row>
    <row r="98" hidden="1" spans="3:6" x14ac:dyDescent="0.25">
      <c r="C98" t="s">
        <v>98</v>
      </c>
      <c r="D98" s="2">
        <f>IF(F98&gt;0,F98,0)</f>
        <v>0</v>
      </c>
      <c r="E98" s="2">
        <f>IF(F98&lt;0,-F98,0)</f>
        <v>0</v>
      </c>
      <c r="F98" s="1">
        <f>IFERROR(VLOOKUP(C98,$C$228:$D$315,2,FALSE),0)</f>
        <v>0</v>
      </c>
    </row>
    <row r="99" hidden="1" spans="3:6" x14ac:dyDescent="0.25">
      <c r="C99" t="s">
        <v>99</v>
      </c>
      <c r="D99" s="2">
        <f>IF(F99&gt;0,F99,0)</f>
        <v>0</v>
      </c>
      <c r="E99" s="2">
        <f>IF(F99&lt;0,-F99,0)</f>
        <v>0</v>
      </c>
      <c r="F99" s="1">
        <f>IFERROR(VLOOKUP(C99,$C$228:$D$315,2,FALSE),0)</f>
        <v>0</v>
      </c>
    </row>
    <row r="100" spans="3:6" x14ac:dyDescent="0.25">
      <c r="C100" t="s">
        <v>100</v>
      </c>
      <c r="D100" s="2">
        <f>IF(F100&gt;0,F100,0)</f>
        <v>0</v>
      </c>
      <c r="E100" s="2">
        <f>IF(F100&lt;0,-F100,0)</f>
        <v>696.3054236759732</v>
      </c>
      <c r="F100" s="1">
        <f>IFERROR(VLOOKUP(C100,$C$228:$D$315,2,FALSE),0)</f>
        <v>-696.3054236759732</v>
      </c>
    </row>
    <row r="101" hidden="1" spans="3:6" x14ac:dyDescent="0.25">
      <c r="C101" t="s">
        <v>101</v>
      </c>
      <c r="D101" s="2">
        <f>IF(F101&gt;0,F101,0)</f>
        <v>0</v>
      </c>
      <c r="E101" s="2">
        <f>IF(F101&lt;0,-F101,0)</f>
        <v>0</v>
      </c>
      <c r="F101" s="1">
        <f>IFERROR(VLOOKUP(C101,$C$228:$D$315,2,FALSE),0)</f>
        <v>0</v>
      </c>
    </row>
    <row r="102" spans="3:6" x14ac:dyDescent="0.25">
      <c r="C102" t="s">
        <v>102</v>
      </c>
      <c r="D102" s="2">
        <f>IF(F102&gt;0,F102,0)</f>
        <v>0</v>
      </c>
      <c r="E102" s="2">
        <f>IF(F102&lt;0,-F102,0)</f>
        <v>2046.5543358470704</v>
      </c>
      <c r="F102" s="1">
        <f>IFERROR(VLOOKUP(C102,$C$228:$D$315,2,FALSE),0)</f>
        <v>-2046.5543358470704</v>
      </c>
    </row>
    <row r="103" hidden="1" spans="3:6" x14ac:dyDescent="0.25">
      <c r="C103" t="s">
        <v>103</v>
      </c>
      <c r="D103" s="2">
        <f>IF(F103&gt;0,F103,0)</f>
        <v>0</v>
      </c>
      <c r="E103" s="2">
        <f>IF(F103&lt;0,-F103,0)</f>
        <v>0</v>
      </c>
      <c r="F103" s="1">
        <f>IFERROR(VLOOKUP(C103,$C$228:$D$315,2,FALSE),0)</f>
        <v>0</v>
      </c>
    </row>
    <row r="104" hidden="1" spans="3:6" x14ac:dyDescent="0.25">
      <c r="C104" t="s">
        <v>104</v>
      </c>
      <c r="D104" s="2">
        <f>IF(F104&gt;0,F104,0)</f>
        <v>0</v>
      </c>
      <c r="E104" s="2">
        <f>IF(F104&lt;0,-F104,0)</f>
        <v>0</v>
      </c>
      <c r="F104" s="1">
        <f>IFERROR(VLOOKUP(C104,$C$228:$D$315,2,FALSE),0)</f>
        <v>0</v>
      </c>
    </row>
    <row r="105" spans="3:6" x14ac:dyDescent="0.25">
      <c r="C105" t="s">
        <v>105</v>
      </c>
      <c r="D105" s="2">
        <f>IF(F105&gt;0,F105,0)</f>
        <v>0</v>
      </c>
      <c r="E105" s="2">
        <f>IF(F105&lt;0,-F105,0)</f>
        <v>11678.627014449014</v>
      </c>
      <c r="F105" s="1">
        <f>IFERROR(VLOOKUP(C105,$C$228:$D$315,2,FALSE),0)</f>
        <v>-11678.627014449014</v>
      </c>
    </row>
    <row r="106" hidden="1" spans="3:6" x14ac:dyDescent="0.25">
      <c r="C106" t="s">
        <v>106</v>
      </c>
      <c r="D106" s="2">
        <f>IF(F106&gt;0,F106,0)</f>
        <v>0</v>
      </c>
      <c r="E106" s="2">
        <f>IF(F106&lt;0,-F106,0)</f>
        <v>0</v>
      </c>
      <c r="F106" s="1">
        <f>IFERROR(VLOOKUP(C106,$C$228:$D$315,2,FALSE),0)</f>
        <v>0</v>
      </c>
    </row>
    <row r="108" spans="4:6" x14ac:dyDescent="0.25">
      <c r="D108" s="1">
        <f>IF(F108&gt;0,F108,0)</f>
        <v>0</v>
      </c>
      <c r="F108" s="1">
        <f>SUM(F48:F106)</f>
        <v>-623635.9214627951</v>
      </c>
    </row>
    <row r="109" spans="2:2" x14ac:dyDescent="0.25">
      <c r="B109" t="s">
        <v>107</v>
      </c>
    </row>
    <row r="111" spans="3:7" x14ac:dyDescent="0.25">
      <c r="C111" t="s">
        <v>108</v>
      </c>
      <c r="D111" s="2">
        <v>0</v>
      </c>
      <c r="E111" s="2">
        <f>-F111</f>
        <v>3342261.546881273</v>
      </c>
      <c r="F111" s="1">
        <f>IFERROR(VLOOKUP(C111,$C$228:$D$315,2,FALSE),0)</f>
        <v>-3342261.546881273</v>
      </c>
      <c r="G111" s="3">
        <f>+F111+F112</f>
        <v>-451561.389535354</v>
      </c>
    </row>
    <row r="112" spans="3:6" x14ac:dyDescent="0.25">
      <c r="C112" t="s">
        <v>109</v>
      </c>
      <c r="D112" s="2">
        <f>+F112</f>
        <v>2890700.157345919</v>
      </c>
      <c r="E112" s="2">
        <v>0</v>
      </c>
      <c r="F112" s="1">
        <f>IFERROR(VLOOKUP(C112,$C$228:$D$315,2,FALSE),0)</f>
        <v>2890700.157345919</v>
      </c>
    </row>
    <row r="114" spans="2:6" x14ac:dyDescent="0.25">
      <c r="B114" t="s">
        <v>110</v>
      </c>
      <c r="F114" s="3">
        <f>SUM(F111:F113)</f>
        <v>-451561.389535354</v>
      </c>
    </row>
    <row r="116" spans="3:6" x14ac:dyDescent="0.25">
      <c r="C116" t="s">
        <v>111</v>
      </c>
      <c r="D116" s="2">
        <f>IF(F116&gt;0,F116,0)</f>
        <v>0</v>
      </c>
      <c r="E116" s="2">
        <f>IF(F116&lt;0,-F116,0)</f>
        <v>115882.33</v>
      </c>
      <c r="F116" s="1">
        <f>IFERROR(VLOOKUP(C116,$C$228:$D$315,2,FALSE),0)</f>
        <v>-115882.33</v>
      </c>
    </row>
    <row r="117" hidden="1" spans="3:6" x14ac:dyDescent="0.25">
      <c r="C117" t="s">
        <v>112</v>
      </c>
      <c r="D117" s="2">
        <f>IF(F117&gt;0,F117,0)</f>
        <v>0</v>
      </c>
      <c r="E117" s="2">
        <f>IF(F117&lt;0,-F117,0)</f>
        <v>0</v>
      </c>
      <c r="F117" s="1">
        <f>IFERROR(VLOOKUP(C117,$C$228:$D$315,2,FALSE),0)</f>
        <v>0</v>
      </c>
    </row>
    <row r="118" spans="3:6" x14ac:dyDescent="0.25">
      <c r="C118" t="s">
        <v>113</v>
      </c>
      <c r="D118" s="2">
        <f>IF(F118&gt;0,F118,0)</f>
        <v>0</v>
      </c>
      <c r="E118" s="2">
        <f>IF(F118&lt;0,-F118,0)</f>
        <v>21805.53</v>
      </c>
      <c r="F118" s="1">
        <f>IFERROR(VLOOKUP(C118,$C$228:$D$315,2,FALSE),0)</f>
        <v>-21805.53</v>
      </c>
    </row>
    <row r="119" hidden="1" spans="3:6" x14ac:dyDescent="0.25">
      <c r="C119" t="s">
        <v>114</v>
      </c>
      <c r="D119" s="2">
        <f>IF(F119&gt;0,F119,0)</f>
        <v>0</v>
      </c>
      <c r="E119" s="2">
        <f>IF(F119&lt;0,-F119,0)</f>
        <v>0</v>
      </c>
      <c r="F119" s="1">
        <f>IFERROR(VLOOKUP(C119,$C$228:$D$315,2,FALSE),0)</f>
        <v>0</v>
      </c>
    </row>
    <row r="120" hidden="1" spans="3:6" x14ac:dyDescent="0.25">
      <c r="C120" t="s">
        <v>115</v>
      </c>
      <c r="D120" s="2">
        <f>IF(F120&gt;0,F120,0)</f>
        <v>0</v>
      </c>
      <c r="E120" s="2">
        <f>IF(F120&lt;0,-F120,0)</f>
        <v>0</v>
      </c>
      <c r="F120" s="1">
        <f>IFERROR(VLOOKUP(C120,$C$228:$D$315,2,FALSE),0)</f>
        <v>0</v>
      </c>
    </row>
    <row r="121" hidden="1" spans="3:6" x14ac:dyDescent="0.25">
      <c r="C121" t="s">
        <v>116</v>
      </c>
      <c r="D121" s="2">
        <f>IF(F121&gt;0,F121,0)</f>
        <v>0</v>
      </c>
      <c r="E121" s="2">
        <f>IF(F121&lt;0,-F121,0)</f>
        <v>0</v>
      </c>
      <c r="F121" s="1">
        <f>IFERROR(VLOOKUP(C121,$C$228:$D$315,2,FALSE),0)</f>
        <v>0</v>
      </c>
    </row>
    <row r="122" hidden="1" spans="3:6" x14ac:dyDescent="0.25">
      <c r="C122" t="s">
        <v>117</v>
      </c>
      <c r="D122" s="2">
        <f>IF(F122&gt;0,F122,0)</f>
        <v>0</v>
      </c>
      <c r="E122" s="2">
        <f>IF(F122&lt;0,-F122,0)</f>
        <v>0</v>
      </c>
      <c r="F122" s="1">
        <f>IFERROR(VLOOKUP(C122,$C$228:$D$315,2,FALSE),0)</f>
        <v>0</v>
      </c>
    </row>
    <row r="123" hidden="1" spans="3:6" x14ac:dyDescent="0.25">
      <c r="C123" t="s">
        <v>112</v>
      </c>
      <c r="D123" s="2">
        <f>IF(F123&gt;0,F123,0)</f>
        <v>0</v>
      </c>
      <c r="E123" s="2">
        <f>IF(F123&lt;0,-F123,0)</f>
        <v>0</v>
      </c>
      <c r="F123" s="1">
        <f>IFERROR(VLOOKUP(C123,$C$228:$D$315,2,FALSE),0)</f>
        <v>0</v>
      </c>
    </row>
    <row r="124" hidden="1" spans="3:6" x14ac:dyDescent="0.25">
      <c r="C124" t="s">
        <v>118</v>
      </c>
      <c r="D124" s="2">
        <f>IF(F124&gt;0,F124,0)</f>
        <v>0</v>
      </c>
      <c r="E124" s="2">
        <f>IF(F124&lt;0,-F124,0)</f>
        <v>0</v>
      </c>
      <c r="F124" s="1">
        <f>IFERROR(VLOOKUP(C124,$C$228:$D$315,2,FALSE),0)</f>
        <v>0</v>
      </c>
    </row>
    <row r="125" spans="3:6" x14ac:dyDescent="0.25">
      <c r="C125" t="s">
        <v>119</v>
      </c>
      <c r="D125" s="2">
        <f>IF(F125&gt;0,F125,0)</f>
        <v>2518.73</v>
      </c>
      <c r="E125" s="2">
        <f>IF(F125&lt;0,-F125,0)</f>
        <v>0</v>
      </c>
      <c r="F125" s="1">
        <f>IFERROR(VLOOKUP(C125,$C$228:$D$315,2,FALSE),0)</f>
        <v>2518.73</v>
      </c>
    </row>
    <row r="126" spans="3:6" x14ac:dyDescent="0.25">
      <c r="C126" t="s">
        <v>120</v>
      </c>
      <c r="D126" s="2">
        <f>IF(F126&gt;0,F126,0)</f>
        <v>711028.12</v>
      </c>
      <c r="E126" s="2">
        <f>IF(F126&lt;0,-F126,0)</f>
        <v>0</v>
      </c>
      <c r="F126" s="1">
        <f>IFERROR(VLOOKUP(C126,$C$228:$D$315,2,FALSE),0)</f>
        <v>711028.12</v>
      </c>
    </row>
    <row r="127" spans="3:6" x14ac:dyDescent="0.25">
      <c r="C127" t="s">
        <v>121</v>
      </c>
      <c r="D127" s="2">
        <f>IF(F127&gt;0,F127,0)</f>
        <v>123093.34</v>
      </c>
      <c r="E127" s="2">
        <f>IF(F127&lt;0,-F127,0)</f>
        <v>0</v>
      </c>
      <c r="F127" s="1">
        <f>IFERROR(VLOOKUP(C127,$C$228:$D$315,2,FALSE),0)</f>
        <v>123093.34</v>
      </c>
    </row>
    <row r="128" spans="3:6" x14ac:dyDescent="0.25">
      <c r="C128" t="s">
        <v>122</v>
      </c>
      <c r="D128" s="2">
        <f>IF(F128&gt;0,F128,0)</f>
        <v>1883.1100000000001</v>
      </c>
      <c r="E128" s="2">
        <f>IF(F128&lt;0,-F128,0)</f>
        <v>0</v>
      </c>
      <c r="F128" s="1">
        <f>IFERROR(VLOOKUP(C128,$C$228:$D$315,2,FALSE),0)</f>
        <v>1883.1100000000001</v>
      </c>
    </row>
    <row r="129" spans="3:6" x14ac:dyDescent="0.25">
      <c r="C129" t="s">
        <v>123</v>
      </c>
      <c r="D129" s="2">
        <f>IF(F129&gt;0,F129,0)</f>
        <v>220136.64</v>
      </c>
      <c r="E129" s="2">
        <f>IF(F129&lt;0,-F129,0)</f>
        <v>0</v>
      </c>
      <c r="F129" s="1">
        <f>IFERROR(VLOOKUP(C129,$C$228:$D$315,2,FALSE),0)</f>
        <v>220136.64</v>
      </c>
    </row>
    <row r="130" hidden="1" spans="3:10" x14ac:dyDescent="0.25">
      <c r="C130" t="s">
        <v>124</v>
      </c>
      <c r="D130" s="2">
        <f>IF(F130&gt;0,F130,0)</f>
        <v>0</v>
      </c>
      <c r="E130" s="2">
        <f>IF(F130&lt;0,-F130,0)</f>
        <v>0</v>
      </c>
      <c r="F130" s="1">
        <f>IFERROR(VLOOKUP(C130,$C$228:$D$315,2,FALSE),0)</f>
        <v>0</v>
      </c>
      <c r="J130" t="s">
        <v>16</v>
      </c>
    </row>
    <row r="131" hidden="1" spans="3:6" x14ac:dyDescent="0.25">
      <c r="C131" t="s">
        <v>125</v>
      </c>
      <c r="D131" s="2">
        <f>IF(F131&gt;0,F131,0)</f>
        <v>0</v>
      </c>
      <c r="E131" s="2">
        <f>IF(F131&lt;0,-F131,0)</f>
        <v>0</v>
      </c>
      <c r="F131" s="1">
        <f>IFERROR(VLOOKUP(C131,$C$228:$D$315,2,FALSE),0)</f>
        <v>0</v>
      </c>
    </row>
    <row r="132" hidden="1" spans="3:6" x14ac:dyDescent="0.25">
      <c r="C132" t="s">
        <v>126</v>
      </c>
      <c r="D132" s="2">
        <f>IF(F132&gt;0,F132,0)</f>
        <v>0</v>
      </c>
      <c r="E132" s="2">
        <f>IF(F132&lt;0,-F132,0)</f>
        <v>0</v>
      </c>
      <c r="F132" s="1">
        <f>IFERROR(VLOOKUP(C132,$C$228:$D$315,2,FALSE),0)</f>
        <v>0</v>
      </c>
    </row>
    <row r="133" spans="3:6" x14ac:dyDescent="0.25">
      <c r="C133" t="s">
        <v>127</v>
      </c>
      <c r="D133" s="2">
        <f>IF(F133&gt;0,F133,0)</f>
        <v>1360.76</v>
      </c>
      <c r="E133" s="2">
        <f>IF(F133&lt;0,-F133,0)</f>
        <v>0</v>
      </c>
      <c r="F133" s="1">
        <f>IFERROR(VLOOKUP(C133,$C$228:$D$315,2,FALSE),0)</f>
        <v>1360.76</v>
      </c>
    </row>
    <row r="134" spans="3:6" x14ac:dyDescent="0.25">
      <c r="C134" t="s">
        <v>128</v>
      </c>
      <c r="D134" s="2">
        <f>IF(F134&gt;0,F134,0)</f>
        <v>63260.99</v>
      </c>
      <c r="E134" s="2">
        <f>IF(F134&lt;0,-F134,0)</f>
        <v>0</v>
      </c>
      <c r="F134" s="1">
        <f>IFERROR(VLOOKUP(C134,$C$228:$D$315,2,FALSE),0)</f>
        <v>63260.99</v>
      </c>
    </row>
    <row r="135" hidden="1" spans="3:6" x14ac:dyDescent="0.25">
      <c r="C135" t="s">
        <v>129</v>
      </c>
      <c r="D135" s="2">
        <f>IF(F135&gt;0,F135,0)</f>
        <v>0</v>
      </c>
      <c r="E135" s="2">
        <f>IF(F135&lt;0,-F135,0)</f>
        <v>0</v>
      </c>
      <c r="F135" s="1">
        <f>IFERROR(VLOOKUP(C135,$C$228:$D$315,2,FALSE),0)</f>
        <v>0</v>
      </c>
    </row>
    <row r="136" spans="3:6" x14ac:dyDescent="0.25">
      <c r="C136" t="s">
        <v>130</v>
      </c>
      <c r="D136" s="2">
        <f>IF(F136&gt;0,F136,0)</f>
        <v>4365.51</v>
      </c>
      <c r="E136" s="2">
        <f>IF(F136&lt;0,-F136,0)</f>
        <v>0</v>
      </c>
      <c r="F136" s="1">
        <f>IFERROR(VLOOKUP(C136,$C$228:$D$315,2,FALSE),0)</f>
        <v>4365.51</v>
      </c>
    </row>
    <row r="137" hidden="1" spans="3:6" x14ac:dyDescent="0.25">
      <c r="C137" t="s">
        <v>131</v>
      </c>
      <c r="D137" s="2">
        <f>IF(F137&gt;0,F137,0)</f>
        <v>0</v>
      </c>
      <c r="E137" s="2">
        <f>IF(F137&lt;0,-F137,0)</f>
        <v>0</v>
      </c>
      <c r="F137" s="1">
        <f>IFERROR(VLOOKUP(C137,$C$228:$D$315,2,FALSE),0)</f>
        <v>0</v>
      </c>
    </row>
    <row r="138" hidden="1" spans="3:6" x14ac:dyDescent="0.25">
      <c r="C138" t="s">
        <v>132</v>
      </c>
      <c r="D138" s="2">
        <f>IF(F138&gt;0,F138,0)</f>
        <v>0</v>
      </c>
      <c r="E138" s="2">
        <f>IF(F138&lt;0,-F138,0)</f>
        <v>0</v>
      </c>
      <c r="F138" s="1">
        <f>IFERROR(VLOOKUP(C138,$C$228:$D$315,2,FALSE),0)</f>
        <v>0</v>
      </c>
    </row>
    <row r="139" spans="3:6" x14ac:dyDescent="0.25">
      <c r="C139" t="s">
        <v>133</v>
      </c>
      <c r="D139" s="2">
        <f>IF(F139&gt;0,F139,0)</f>
        <v>204.11</v>
      </c>
      <c r="E139" s="2">
        <f>IF(F139&lt;0,-F139,0)</f>
        <v>0</v>
      </c>
      <c r="F139" s="1">
        <f>IFERROR(VLOOKUP(C139,$C$228:$D$315,2,FALSE),0)</f>
        <v>204.11</v>
      </c>
    </row>
    <row r="140" hidden="1" spans="3:6" x14ac:dyDescent="0.25">
      <c r="C140" t="s">
        <v>134</v>
      </c>
      <c r="D140" s="2">
        <f>IF(F140&gt;0,F140,0)</f>
        <v>0</v>
      </c>
      <c r="E140" s="2">
        <f>IF(F140&lt;0,-F140,0)</f>
        <v>0</v>
      </c>
      <c r="F140" s="1">
        <f>IFERROR(VLOOKUP(C140,$C$228:$D$315,2,FALSE),0)</f>
        <v>0</v>
      </c>
    </row>
    <row r="141" spans="3:6" x14ac:dyDescent="0.25">
      <c r="C141" t="s">
        <v>135</v>
      </c>
      <c r="D141" s="2">
        <f>IF(F141&gt;0,F141,0)</f>
        <v>4934.13</v>
      </c>
      <c r="E141" s="2">
        <f>IF(F141&lt;0,-F141,0)</f>
        <v>0</v>
      </c>
      <c r="F141" s="1">
        <f>IFERROR(VLOOKUP(C141,$C$228:$D$315,2,FALSE),0)</f>
        <v>4934.13</v>
      </c>
    </row>
    <row r="142" hidden="1" spans="2:6" x14ac:dyDescent="0.25">
      <c r="B142" t="s">
        <v>16</v>
      </c>
      <c r="C142" t="s">
        <v>136</v>
      </c>
      <c r="D142" s="2">
        <f>IF(F142&gt;0,F142,0)</f>
        <v>0</v>
      </c>
      <c r="E142" s="2">
        <f>IF(F142&lt;0,-F142,0)</f>
        <v>0</v>
      </c>
      <c r="F142" s="1">
        <f>IFERROR(VLOOKUP(C142,$C$228:$D$315,2,FALSE),0)</f>
        <v>0</v>
      </c>
    </row>
    <row r="143" hidden="1" spans="3:6" x14ac:dyDescent="0.25">
      <c r="C143" t="s">
        <v>137</v>
      </c>
      <c r="D143" s="2">
        <f>IF(F143&gt;0,F143,0)</f>
        <v>0</v>
      </c>
      <c r="E143" s="2">
        <f>IF(F143&lt;0,-F143,0)</f>
        <v>0</v>
      </c>
      <c r="F143" s="1">
        <f>IFERROR(VLOOKUP(C143,$C$228:$D$315,2,FALSE),0)</f>
        <v>0</v>
      </c>
    </row>
    <row r="144" spans="3:6" x14ac:dyDescent="0.25">
      <c r="C144" t="s">
        <v>138</v>
      </c>
      <c r="D144" s="2">
        <f>IF(F144&gt;0,F144,0)</f>
        <v>127567.82</v>
      </c>
      <c r="E144" s="2">
        <f>IF(F144&lt;0,-F144,0)</f>
        <v>0</v>
      </c>
      <c r="F144" s="1">
        <f>IFERROR(VLOOKUP(C144,$C$228:$D$315,2,FALSE),0)</f>
        <v>127567.82</v>
      </c>
    </row>
    <row r="145" spans="3:6" x14ac:dyDescent="0.25">
      <c r="C145" t="s">
        <v>139</v>
      </c>
      <c r="D145" s="2">
        <f>IF(F145&gt;0,F145,0)</f>
        <v>6917.72</v>
      </c>
      <c r="E145" s="2">
        <f>IF(F145&lt;0,-F145,0)</f>
        <v>0</v>
      </c>
      <c r="F145" s="1">
        <f>IFERROR(VLOOKUP(C145,$C$228:$D$315,2,FALSE),0)</f>
        <v>6917.72</v>
      </c>
    </row>
    <row r="146" hidden="1" spans="3:6" x14ac:dyDescent="0.25">
      <c r="C146" t="s">
        <v>140</v>
      </c>
      <c r="D146" s="2">
        <f>IF(F146&gt;0,F146,0)</f>
        <v>0</v>
      </c>
      <c r="E146" s="2">
        <f>IF(F146&lt;0,-F146,0)</f>
        <v>0</v>
      </c>
      <c r="F146" s="1">
        <f>IFERROR(VLOOKUP(C146,$C$228:$D$315,2,FALSE),0)</f>
        <v>0</v>
      </c>
    </row>
    <row r="147" hidden="1" spans="3:6" x14ac:dyDescent="0.25">
      <c r="C147" t="s">
        <v>141</v>
      </c>
      <c r="D147" s="2">
        <f>IF(F147&gt;0,F147,0)</f>
        <v>0</v>
      </c>
      <c r="E147" s="2">
        <f>IF(F147&lt;0,-F147,0)</f>
        <v>0</v>
      </c>
      <c r="F147" s="1">
        <f>IFERROR(VLOOKUP(C147,$C$228:$D$315,2,FALSE),0)</f>
        <v>0</v>
      </c>
    </row>
    <row r="148" spans="3:6" x14ac:dyDescent="0.25">
      <c r="C148" t="s">
        <v>142</v>
      </c>
      <c r="D148" s="2">
        <f>IF(F148&gt;0,F148,0)</f>
        <v>31892.49</v>
      </c>
      <c r="E148" s="2">
        <f>IF(F148&lt;0,-F148,0)</f>
        <v>0</v>
      </c>
      <c r="F148" s="1">
        <f>IFERROR(VLOOKUP(C148,$C$228:$D$315,2,FALSE),0)</f>
        <v>31892.49</v>
      </c>
    </row>
    <row r="149" hidden="1" spans="3:6" x14ac:dyDescent="0.25">
      <c r="C149" t="s">
        <v>143</v>
      </c>
      <c r="D149" s="2">
        <f>IF(F149&gt;0,F149,0)</f>
        <v>0</v>
      </c>
      <c r="E149" s="2">
        <f>IF(F149&lt;0,-F149,0)</f>
        <v>0</v>
      </c>
      <c r="F149" s="1">
        <f>IFERROR(VLOOKUP(C149,$C$228:$D$315,2,FALSE),0)</f>
        <v>0</v>
      </c>
    </row>
    <row r="150" spans="3:6" x14ac:dyDescent="0.25">
      <c r="C150" t="s">
        <v>144</v>
      </c>
      <c r="D150" s="2">
        <f>IF(F150&gt;0,F150,0)</f>
        <v>278459.11</v>
      </c>
      <c r="E150" s="2">
        <f>IF(F150&lt;0,-F150,0)</f>
        <v>0</v>
      </c>
      <c r="F150" s="1">
        <f>IFERROR(VLOOKUP(C150,$C$228:$D$315,2,FALSE),0)</f>
        <v>278459.11</v>
      </c>
    </row>
    <row r="151" spans="3:6" x14ac:dyDescent="0.25">
      <c r="C151" t="s">
        <v>145</v>
      </c>
      <c r="D151" s="2">
        <f>IF(F151&gt;0,F151,0)</f>
        <v>0</v>
      </c>
      <c r="E151" s="2">
        <f>IF(F151&lt;0,-F151,0)</f>
        <v>3460.15</v>
      </c>
      <c r="F151" s="1">
        <f>IFERROR(VLOOKUP(C151,$C$228:$D$315,2,FALSE),0)</f>
        <v>-3460.15</v>
      </c>
    </row>
    <row r="152" hidden="1" spans="3:6" x14ac:dyDescent="0.25">
      <c r="C152" t="s">
        <v>146</v>
      </c>
      <c r="D152" s="2">
        <f>IF(F152&gt;0,F152,0)</f>
        <v>0</v>
      </c>
      <c r="E152" s="2">
        <f>IF(F152&lt;0,-F152,0)</f>
        <v>0</v>
      </c>
      <c r="F152" s="1">
        <f>IFERROR(VLOOKUP(C152,$C$228:$D$315,2,FALSE),0)</f>
        <v>0</v>
      </c>
    </row>
    <row r="153" hidden="1" spans="3:6" x14ac:dyDescent="0.25">
      <c r="C153" t="s">
        <v>147</v>
      </c>
      <c r="D153" s="2">
        <f>IF(F153&gt;0,F153,0)</f>
        <v>0</v>
      </c>
      <c r="E153" s="2">
        <f>IF(F153&lt;0,-F153,0)</f>
        <v>0</v>
      </c>
      <c r="F153" s="1">
        <f>IFERROR(VLOOKUP(C153,$C$228:$D$315,2,FALSE),0)</f>
        <v>0</v>
      </c>
    </row>
    <row r="154" spans="3:6" x14ac:dyDescent="0.25">
      <c r="C154" t="s">
        <v>148</v>
      </c>
      <c r="D154" s="2">
        <f>IF(F154&gt;0,F154,0)</f>
        <v>388278.17</v>
      </c>
      <c r="E154" s="2">
        <f>IF(F154&lt;0,-F154,0)</f>
        <v>0</v>
      </c>
      <c r="F154" s="1">
        <f>IFERROR(VLOOKUP(C154,$C$228:$D$315,2,FALSE),0)</f>
        <v>388278.17</v>
      </c>
    </row>
    <row r="155" hidden="1" spans="3:6" x14ac:dyDescent="0.25">
      <c r="C155" t="s">
        <v>149</v>
      </c>
      <c r="D155" s="2">
        <f>IF(F155&gt;0,F155,0)</f>
        <v>0</v>
      </c>
      <c r="E155" s="2">
        <f>IF(F155&lt;0,-F155,0)</f>
        <v>0</v>
      </c>
      <c r="F155" s="1">
        <f>IFERROR(VLOOKUP(C155,$C$228:$D$315,2,FALSE),0)</f>
        <v>0</v>
      </c>
    </row>
    <row r="156" spans="3:6" x14ac:dyDescent="0.25">
      <c r="C156" t="s">
        <v>150</v>
      </c>
      <c r="D156" s="2">
        <f>IF(F156&gt;0,F156,0)</f>
        <v>18371.81</v>
      </c>
      <c r="E156" s="2">
        <f>IF(F156&lt;0,-F156,0)</f>
        <v>0</v>
      </c>
      <c r="F156" s="1">
        <f>IFERROR(VLOOKUP(C156,$C$228:$D$315,2,FALSE),0)</f>
        <v>18371.81</v>
      </c>
    </row>
    <row r="157" hidden="1" spans="3:6" x14ac:dyDescent="0.25">
      <c r="C157" t="s">
        <v>151</v>
      </c>
      <c r="D157" s="2">
        <f>IF(F157&gt;0,F157,0)</f>
        <v>0</v>
      </c>
      <c r="E157" s="2">
        <f>IF(F157&lt;0,-F157,0)</f>
        <v>0</v>
      </c>
      <c r="F157" s="1">
        <f>IFERROR(VLOOKUP(C157,$C$228:$D$315,2,FALSE),0)</f>
        <v>0</v>
      </c>
    </row>
    <row r="158" hidden="1" spans="3:6" x14ac:dyDescent="0.25">
      <c r="C158" t="s">
        <v>152</v>
      </c>
      <c r="D158" s="2">
        <f>IF(F158&gt;0,F158,0)</f>
        <v>0</v>
      </c>
      <c r="E158" s="2">
        <f>IF(F158&lt;0,-F158,0)</f>
        <v>0</v>
      </c>
      <c r="F158" s="1">
        <f>IFERROR(VLOOKUP(C158,$C$228:$D$315,2,FALSE),0)</f>
        <v>0</v>
      </c>
    </row>
    <row r="159" spans="3:6" x14ac:dyDescent="0.25">
      <c r="C159" t="s">
        <v>153</v>
      </c>
      <c r="D159" s="2">
        <f>IF(F159&gt;0,F159,0)</f>
        <v>13081.470000000001</v>
      </c>
      <c r="E159" s="2">
        <f>IF(F159&lt;0,-F159,0)</f>
        <v>0</v>
      </c>
      <c r="F159" s="1">
        <f>IFERROR(VLOOKUP(C159,$C$228:$D$315,2,FALSE),0)</f>
        <v>13081.470000000001</v>
      </c>
    </row>
    <row r="160" hidden="1" spans="3:6" x14ac:dyDescent="0.25">
      <c r="C160" t="s">
        <v>154</v>
      </c>
      <c r="D160" s="2">
        <f>IF(F160&gt;0,F160,0)</f>
        <v>0</v>
      </c>
      <c r="E160" s="2">
        <f>IF(F160&lt;0,-F160,0)</f>
        <v>0</v>
      </c>
      <c r="F160" s="1">
        <f>IFERROR(VLOOKUP(C160,$C$228:$D$315,2,FALSE),0)</f>
        <v>0</v>
      </c>
    </row>
    <row r="161" spans="3:6" x14ac:dyDescent="0.25">
      <c r="C161" t="s">
        <v>155</v>
      </c>
      <c r="D161" s="2">
        <f>IF(F161&gt;0,F161,0)</f>
        <v>530.79</v>
      </c>
      <c r="E161" s="2">
        <f>IF(F161&lt;0,-F161,0)</f>
        <v>0</v>
      </c>
      <c r="F161" s="1">
        <f>IFERROR(VLOOKUP(C161,$C$228:$D$315,2,FALSE),0)</f>
        <v>530.79</v>
      </c>
    </row>
    <row r="162" spans="3:6" x14ac:dyDescent="0.25">
      <c r="C162" t="s">
        <v>156</v>
      </c>
      <c r="D162" s="2">
        <f>IF(F162&gt;0,F162,0)</f>
        <v>27649.36</v>
      </c>
      <c r="E162" s="2">
        <f>IF(F162&lt;0,-F162,0)</f>
        <v>0</v>
      </c>
      <c r="F162" s="1">
        <f>IFERROR(VLOOKUP(C162,$C$228:$D$315,2,FALSE),0)</f>
        <v>27649.36</v>
      </c>
    </row>
    <row r="163" spans="3:6" x14ac:dyDescent="0.25">
      <c r="C163" t="s">
        <v>157</v>
      </c>
      <c r="D163" s="2">
        <f>IF(F163&gt;0,F163,0)</f>
        <v>1118.3600000000001</v>
      </c>
      <c r="E163" s="2">
        <f>IF(F163&lt;0,-F163,0)</f>
        <v>0</v>
      </c>
      <c r="F163" s="1">
        <f>IFERROR(VLOOKUP(C163,$C$228:$D$315,2,FALSE),0)</f>
        <v>1118.3600000000001</v>
      </c>
    </row>
    <row r="164" spans="3:6" x14ac:dyDescent="0.25">
      <c r="C164" t="s">
        <v>158</v>
      </c>
      <c r="D164" s="2">
        <f>IF(F164&gt;0,F164,0)</f>
        <v>776.0600000000001</v>
      </c>
      <c r="E164" s="2">
        <f>IF(F164&lt;0,-F164,0)</f>
        <v>0</v>
      </c>
      <c r="F164" s="1">
        <f>IFERROR(VLOOKUP(C164,$C$228:$D$315,2,FALSE),0)</f>
        <v>776.0600000000001</v>
      </c>
    </row>
    <row r="165" hidden="1" spans="3:6" x14ac:dyDescent="0.25">
      <c r="C165" t="s">
        <v>159</v>
      </c>
      <c r="D165" s="2">
        <f>IF(F165&gt;0,F165,0)</f>
        <v>0</v>
      </c>
      <c r="E165" s="2">
        <f>IF(F165&lt;0,-F165,0)</f>
        <v>0</v>
      </c>
      <c r="F165" s="1">
        <f>IFERROR(VLOOKUP(C165,$C$228:$D$315,2,FALSE),0)</f>
        <v>0</v>
      </c>
    </row>
    <row r="166" hidden="1" spans="3:6" x14ac:dyDescent="0.25">
      <c r="C166" t="s">
        <v>160</v>
      </c>
      <c r="D166" s="2">
        <f>IF(F166&gt;0,F166,0)</f>
        <v>0</v>
      </c>
      <c r="E166" s="2">
        <f>IF(F166&lt;0,-F166,0)</f>
        <v>0</v>
      </c>
      <c r="F166" s="1">
        <f>IFERROR(VLOOKUP(C166,$C$228:$D$315,2,FALSE),0)</f>
        <v>0</v>
      </c>
    </row>
    <row r="167" spans="3:6" x14ac:dyDescent="0.25">
      <c r="C167" t="s">
        <v>161</v>
      </c>
      <c r="D167" s="2">
        <f>IF(F167&gt;0,F167,0)</f>
        <v>3356.67</v>
      </c>
      <c r="E167" s="2">
        <f>IF(F167&lt;0,-F167,0)</f>
        <v>0</v>
      </c>
      <c r="F167" s="1">
        <f>IFERROR(VLOOKUP(C167,$C$228:$D$315,2,FALSE),0)</f>
        <v>3356.67</v>
      </c>
    </row>
    <row r="168" hidden="1" spans="3:6" x14ac:dyDescent="0.25">
      <c r="C168" t="s">
        <v>162</v>
      </c>
      <c r="D168" s="2">
        <f>IF(F168&gt;0,F168,0)</f>
        <v>0</v>
      </c>
      <c r="E168" s="2">
        <f>IF(F168&lt;0,-F168,0)</f>
        <v>0</v>
      </c>
      <c r="F168" s="1">
        <f>IFERROR(VLOOKUP(C168,$C$228:$D$315,2,FALSE),0)</f>
        <v>0</v>
      </c>
    </row>
    <row r="169" spans="3:6" x14ac:dyDescent="0.25">
      <c r="C169" t="s">
        <v>163</v>
      </c>
      <c r="D169" s="2">
        <f>IF(F169&gt;0,F169,0)</f>
        <v>3033.18</v>
      </c>
      <c r="E169" s="2">
        <f>IF(F169&lt;0,-F169,0)</f>
        <v>0</v>
      </c>
      <c r="F169" s="1">
        <f>IFERROR(VLOOKUP(C169,$C$228:$D$315,2,FALSE),0)</f>
        <v>3033.18</v>
      </c>
    </row>
    <row r="170" spans="3:6" x14ac:dyDescent="0.25">
      <c r="C170" t="s">
        <v>164</v>
      </c>
      <c r="D170" s="2">
        <f>IF(F170&gt;0,F170,0)</f>
        <v>770.8100000000001</v>
      </c>
      <c r="E170" s="2">
        <f>IF(F170&lt;0,-F170,0)</f>
        <v>0</v>
      </c>
      <c r="F170" s="1">
        <f>IFERROR(VLOOKUP(C170,$C$228:$D$315,2,FALSE),0)</f>
        <v>770.8100000000001</v>
      </c>
    </row>
    <row r="171" spans="3:6" x14ac:dyDescent="0.25">
      <c r="C171" t="s">
        <v>165</v>
      </c>
      <c r="D171" s="2">
        <f>IF(F171&gt;0,F171,0)</f>
        <v>2519.38</v>
      </c>
      <c r="E171" s="2">
        <f>IF(F171&lt;0,-F171,0)</f>
        <v>0</v>
      </c>
      <c r="F171" s="1">
        <f>IFERROR(VLOOKUP(C171,$C$228:$D$315,2,FALSE),0)</f>
        <v>2519.38</v>
      </c>
    </row>
    <row r="172" hidden="1" spans="3:6" x14ac:dyDescent="0.25">
      <c r="C172" t="s">
        <v>166</v>
      </c>
      <c r="D172" s="2">
        <f>IF(F172&gt;0,F172,0)</f>
        <v>0</v>
      </c>
      <c r="E172" s="2">
        <f>IF(F172&lt;0,-F172,0)</f>
        <v>0</v>
      </c>
      <c r="F172" s="1">
        <f>IFERROR(VLOOKUP(C172,$C$228:$D$315,2,FALSE),0)</f>
        <v>0</v>
      </c>
    </row>
    <row r="173" hidden="1" spans="3:6" x14ac:dyDescent="0.25">
      <c r="C173" t="s">
        <v>167</v>
      </c>
      <c r="D173" s="2">
        <f>IF(F173&gt;0,F173,0)</f>
        <v>0</v>
      </c>
      <c r="E173" s="2">
        <f>IF(F173&lt;0,-F173,0)</f>
        <v>0</v>
      </c>
      <c r="F173" s="1">
        <f>IFERROR(VLOOKUP(C173,$C$228:$D$315,2,FALSE),0)</f>
        <v>0</v>
      </c>
    </row>
    <row r="174" hidden="1" spans="3:6" x14ac:dyDescent="0.25">
      <c r="C174" t="s">
        <v>168</v>
      </c>
      <c r="D174" s="2">
        <f>IF(F174&gt;0,F174,0)</f>
        <v>0</v>
      </c>
      <c r="E174" s="2">
        <f>IF(F174&lt;0,-F174,0)</f>
        <v>0</v>
      </c>
      <c r="F174" s="1">
        <f>IFERROR(VLOOKUP(C174,$C$228:$D$315,2,FALSE),0)</f>
        <v>0</v>
      </c>
    </row>
    <row r="175" spans="3:6" x14ac:dyDescent="0.25">
      <c r="C175" t="s">
        <v>169</v>
      </c>
      <c r="D175" s="2">
        <f>IF(F175&gt;0,F175,0)</f>
        <v>8627.79</v>
      </c>
      <c r="E175" s="2">
        <f>IF(F175&lt;0,-F175,0)</f>
        <v>0</v>
      </c>
      <c r="F175" s="1">
        <f>IFERROR(VLOOKUP(C175,$C$228:$D$315,2,FALSE),0)</f>
        <v>8627.79</v>
      </c>
    </row>
    <row r="176" hidden="1" spans="3:6" x14ac:dyDescent="0.25">
      <c r="C176" t="s">
        <v>170</v>
      </c>
      <c r="D176" s="2">
        <f>IF(F176&gt;0,F176,0)</f>
        <v>0</v>
      </c>
      <c r="E176" s="2">
        <f>IF(F176&lt;0,-F176,0)</f>
        <v>0</v>
      </c>
      <c r="F176" s="1">
        <f>IFERROR(VLOOKUP(C176,$C$228:$D$315,2,FALSE),0)</f>
        <v>0</v>
      </c>
    </row>
    <row r="177" hidden="1" spans="3:6" x14ac:dyDescent="0.25">
      <c r="C177" t="s">
        <v>171</v>
      </c>
      <c r="D177" s="2">
        <f>IF(F177&gt;0,F177,0)</f>
        <v>0</v>
      </c>
      <c r="E177" s="2">
        <f>IF(F177&lt;0,-F177,0)</f>
        <v>0</v>
      </c>
      <c r="F177" s="1">
        <f>IFERROR(VLOOKUP(C177,$C$228:$D$315,2,FALSE),0)</f>
        <v>0</v>
      </c>
    </row>
    <row r="178" hidden="1" spans="3:6" x14ac:dyDescent="0.25">
      <c r="C178" t="s">
        <v>172</v>
      </c>
      <c r="D178" s="2">
        <f>IF(F178&gt;0,F178,0)</f>
        <v>0</v>
      </c>
      <c r="E178" s="2">
        <f>IF(F178&lt;0,-F178,0)</f>
        <v>0</v>
      </c>
      <c r="F178" s="1">
        <f>IFERROR(VLOOKUP(C178,$C$228:$D$315,2,FALSE),0)</f>
        <v>0</v>
      </c>
    </row>
    <row r="179" hidden="1" spans="3:6" x14ac:dyDescent="0.25">
      <c r="C179" t="s">
        <v>173</v>
      </c>
      <c r="D179" s="2">
        <f>IF(F179&gt;0,F179,0)</f>
        <v>0</v>
      </c>
      <c r="E179" s="2">
        <f>IF(F179&lt;0,-F179,0)</f>
        <v>0</v>
      </c>
      <c r="F179" s="1">
        <f>IFERROR(VLOOKUP(C179,$C$228:$D$315,2,FALSE),0)</f>
        <v>0</v>
      </c>
    </row>
    <row r="180" hidden="1" spans="3:6" x14ac:dyDescent="0.25">
      <c r="C180" t="s">
        <v>174</v>
      </c>
      <c r="D180" s="2">
        <f>IF(F180&gt;0,F180,0)</f>
        <v>0</v>
      </c>
      <c r="E180" s="2">
        <f>IF(F180&lt;0,-F180,0)</f>
        <v>0</v>
      </c>
      <c r="F180" s="1">
        <f>IFERROR(VLOOKUP(C180,$C$228:$D$315,2,FALSE),0)</f>
        <v>0</v>
      </c>
    </row>
    <row r="181" spans="3:6" x14ac:dyDescent="0.25">
      <c r="C181" t="s">
        <v>175</v>
      </c>
      <c r="D181" s="2">
        <f>IF(F181&gt;0,F181,0)</f>
        <v>2342.32</v>
      </c>
      <c r="E181" s="2">
        <f>IF(F181&lt;0,-F181,0)</f>
        <v>0</v>
      </c>
      <c r="F181" s="1">
        <f>IFERROR(VLOOKUP(C181,$C$228:$D$315,2,FALSE),0)</f>
        <v>2342.32</v>
      </c>
    </row>
    <row r="182" hidden="1" spans="3:6" x14ac:dyDescent="0.25">
      <c r="C182" t="s">
        <v>176</v>
      </c>
      <c r="D182" s="2">
        <f>IF(F182&gt;0,F182,0)</f>
        <v>0</v>
      </c>
      <c r="E182" s="2">
        <f>IF(F182&lt;0,-F182,0)</f>
        <v>0</v>
      </c>
      <c r="F182" s="1">
        <f>IFERROR(VLOOKUP(C182,$C$228:$D$315,2,FALSE),0)</f>
        <v>0</v>
      </c>
    </row>
    <row r="183" spans="3:6" x14ac:dyDescent="0.25">
      <c r="C183" t="s">
        <v>177</v>
      </c>
      <c r="D183" s="2">
        <f>IF(F183&gt;0,F183,0)</f>
        <v>126714.18000000001</v>
      </c>
      <c r="E183" s="2">
        <f>IF(F183&lt;0,-F183,0)</f>
        <v>0</v>
      </c>
      <c r="F183" s="1">
        <f>IFERROR(VLOOKUP(C183,$C$228:$D$315,2,FALSE),0)</f>
        <v>126714.18000000001</v>
      </c>
    </row>
    <row r="184" hidden="1" spans="3:6" x14ac:dyDescent="0.25">
      <c r="C184" t="s">
        <v>178</v>
      </c>
      <c r="D184" s="2">
        <f>IF(F184&gt;0,F184,0)</f>
        <v>0</v>
      </c>
      <c r="E184" s="2">
        <f>IF(F184&lt;0,-F184,0)</f>
        <v>0</v>
      </c>
      <c r="F184" s="1">
        <f>IFERROR(VLOOKUP(C184,$C$228:$D$315,2,FALSE),0)</f>
        <v>0</v>
      </c>
    </row>
    <row r="185" hidden="1" spans="3:6" x14ac:dyDescent="0.25">
      <c r="C185" t="s">
        <v>179</v>
      </c>
      <c r="D185" s="2">
        <f>IF(F185&gt;0,F185,0)</f>
        <v>0</v>
      </c>
      <c r="E185" s="2">
        <f>IF(F185&lt;0,-F185,0)</f>
        <v>0</v>
      </c>
      <c r="F185" s="1">
        <f>IFERROR(VLOOKUP(C185,$C$228:$D$315,2,FALSE),0)</f>
        <v>0</v>
      </c>
    </row>
    <row r="186" hidden="1" spans="3:6" x14ac:dyDescent="0.25">
      <c r="C186" t="s">
        <v>180</v>
      </c>
      <c r="D186" s="2">
        <f>IF(F186&gt;0,F186,0)</f>
        <v>0</v>
      </c>
      <c r="E186" s="2">
        <f>IF(F186&lt;0,-F186,0)</f>
        <v>0</v>
      </c>
      <c r="F186" s="1">
        <f>IFERROR(VLOOKUP(C186,$C$228:$D$315,2,FALSE),0)</f>
        <v>0</v>
      </c>
    </row>
    <row r="187" spans="3:6" x14ac:dyDescent="0.25">
      <c r="C187" t="s">
        <v>181</v>
      </c>
      <c r="D187" s="2">
        <f>IF(F187&gt;0,F187,0)</f>
        <v>275.24</v>
      </c>
      <c r="E187" s="2">
        <f>IF(F187&lt;0,-F187,0)</f>
        <v>0</v>
      </c>
      <c r="F187" s="1">
        <f>IFERROR(VLOOKUP(C187,$C$228:$D$315,2,FALSE),0)</f>
        <v>275.24</v>
      </c>
    </row>
    <row r="188" hidden="1" spans="3:6" x14ac:dyDescent="0.25">
      <c r="C188" t="s">
        <v>182</v>
      </c>
      <c r="D188" s="2">
        <f>IF(F188&gt;0,F188,0)</f>
        <v>0</v>
      </c>
      <c r="E188" s="2">
        <f>IF(F188&lt;0,-F188,0)</f>
        <v>0</v>
      </c>
      <c r="F188" s="1">
        <f>IFERROR(VLOOKUP(C188,$C$228:$D$315,2,FALSE),0)</f>
        <v>0</v>
      </c>
    </row>
    <row r="189" hidden="1" spans="3:6" x14ac:dyDescent="0.25">
      <c r="C189" t="s">
        <v>183</v>
      </c>
      <c r="D189" s="2">
        <f>IF(F189&gt;0,F189,0)</f>
        <v>0</v>
      </c>
      <c r="E189" s="2">
        <f>IF(F189&lt;0,-F189,0)</f>
        <v>0</v>
      </c>
      <c r="F189" s="1">
        <f>IFERROR(VLOOKUP(C189,$C$228:$D$315,2,FALSE),0)</f>
        <v>0</v>
      </c>
    </row>
    <row r="190" hidden="1" spans="3:6" x14ac:dyDescent="0.25">
      <c r="C190" t="s">
        <v>184</v>
      </c>
      <c r="D190" s="2">
        <f>IF(F190&gt;0,F190,0)</f>
        <v>0</v>
      </c>
      <c r="E190" s="2">
        <f>IF(F190&lt;0,-F190,0)</f>
        <v>0</v>
      </c>
      <c r="F190" s="1">
        <f>IFERROR(VLOOKUP(C190,$C$228:$D$315,2,FALSE),0)</f>
        <v>0</v>
      </c>
    </row>
    <row r="191" hidden="1" spans="3:6" x14ac:dyDescent="0.25">
      <c r="C191" t="s">
        <v>185</v>
      </c>
      <c r="D191" s="2">
        <f>IF(F191&gt;0,F191,0)</f>
        <v>0</v>
      </c>
      <c r="E191" s="2">
        <f>IF(F191&lt;0,-F191,0)</f>
        <v>0</v>
      </c>
      <c r="F191" s="1">
        <f>IFERROR(VLOOKUP(C191,$C$228:$D$315,2,FALSE),0)</f>
        <v>0</v>
      </c>
    </row>
    <row r="192" hidden="1" spans="3:6" x14ac:dyDescent="0.25">
      <c r="C192" t="s">
        <v>186</v>
      </c>
      <c r="D192" s="2">
        <f>IF(F192&gt;0,F192,0)</f>
        <v>0</v>
      </c>
      <c r="E192" s="2">
        <f>IF(F192&lt;0,-F192,0)</f>
        <v>0</v>
      </c>
      <c r="F192" s="1">
        <f>IFERROR(VLOOKUP(C192,$C$228:$D$315,2,FALSE),0)</f>
        <v>0</v>
      </c>
    </row>
    <row r="193" hidden="1" spans="3:6" x14ac:dyDescent="0.25">
      <c r="C193" t="s">
        <v>187</v>
      </c>
      <c r="D193" s="2">
        <f>IF(F193&gt;0,F193,0)</f>
        <v>0</v>
      </c>
      <c r="E193" s="2">
        <f>IF(F193&lt;0,-F193,0)</f>
        <v>0</v>
      </c>
      <c r="F193" s="1">
        <f>IFERROR(VLOOKUP(C193,$C$228:$D$315,2,FALSE),0)</f>
        <v>0</v>
      </c>
    </row>
    <row r="194" hidden="1" spans="3:6" x14ac:dyDescent="0.25">
      <c r="C194" t="s">
        <v>188</v>
      </c>
      <c r="D194" s="2">
        <f>IF(F194&gt;0,F194,0)</f>
        <v>0</v>
      </c>
      <c r="E194" s="2">
        <f>IF(F194&lt;0,-F194,0)</f>
        <v>0</v>
      </c>
      <c r="F194" s="1">
        <f>IFERROR(VLOOKUP(C194,$C$228:$D$315,2,FALSE),0)</f>
        <v>0</v>
      </c>
    </row>
    <row r="195" spans="3:6" x14ac:dyDescent="0.25">
      <c r="C195" t="s">
        <v>189</v>
      </c>
      <c r="D195" s="2">
        <f>IF(F195&gt;0,F195,0)</f>
        <v>29891.64</v>
      </c>
      <c r="E195" s="2">
        <f>IF(F195&lt;0,-F195,0)</f>
        <v>0</v>
      </c>
      <c r="F195" s="1">
        <f>IFERROR(VLOOKUP(C195,$C$228:$D$315,2,FALSE),0)</f>
        <v>29891.64</v>
      </c>
    </row>
    <row r="196" ht="14.25" customHeight="1" hidden="1" spans="3:6" x14ac:dyDescent="0.25">
      <c r="C196" t="s">
        <v>190</v>
      </c>
      <c r="D196" s="2">
        <f>IF(F196&gt;0,F196,0)</f>
        <v>0</v>
      </c>
      <c r="E196" s="2">
        <f>IF(F196&lt;0,-F196,0)</f>
        <v>0</v>
      </c>
      <c r="F196" s="1">
        <f>IFERROR(VLOOKUP(C196,$C$228:$D$315,2,FALSE),0)</f>
        <v>0</v>
      </c>
    </row>
    <row r="197" ht="14.25" customHeight="1" hidden="1" spans="3:6" x14ac:dyDescent="0.25">
      <c r="C197" t="s">
        <v>191</v>
      </c>
      <c r="D197" s="2">
        <f>IF(F197&gt;0,F197,0)</f>
        <v>0</v>
      </c>
      <c r="E197" s="2">
        <f>IF(F197&lt;0,-F197,0)</f>
        <v>0</v>
      </c>
      <c r="F197" s="1">
        <f>IFERROR(VLOOKUP(C197,$C$228:$D$315,2,FALSE),0)</f>
        <v>0</v>
      </c>
    </row>
    <row r="198" ht="13.5" customHeight="1" hidden="1" spans="3:6" x14ac:dyDescent="0.25">
      <c r="C198" t="s">
        <v>192</v>
      </c>
      <c r="D198" s="2">
        <f>IF(F198&gt;0,F198,0)</f>
        <v>0</v>
      </c>
      <c r="E198" s="2">
        <f>IF(F198&lt;0,-F198,0)</f>
        <v>0</v>
      </c>
      <c r="F198" s="1">
        <f>IFERROR(VLOOKUP(C198,$C$228:$D$315,2,FALSE),0)</f>
        <v>0</v>
      </c>
    </row>
    <row r="199" spans="3:6" x14ac:dyDescent="0.25">
      <c r="C199" t="s">
        <v>193</v>
      </c>
      <c r="D199" s="2">
        <f>IF(F199&gt;0,F199,0)</f>
        <v>65.43</v>
      </c>
      <c r="E199" s="2">
        <f>IF(F199&lt;0,-F199,0)</f>
        <v>0</v>
      </c>
      <c r="F199" s="1">
        <f>IFERROR(VLOOKUP(C199,$C$228:$D$315,2,FALSE),0)</f>
        <v>65.43</v>
      </c>
    </row>
    <row r="200" hidden="1" spans="3:6" x14ac:dyDescent="0.25">
      <c r="C200" t="s">
        <v>194</v>
      </c>
      <c r="D200" s="2">
        <f>IF(F200&gt;0,F200,0)</f>
        <v>0</v>
      </c>
      <c r="E200" s="2">
        <f>IF(F200&lt;0,-F200,0)</f>
        <v>0</v>
      </c>
      <c r="F200" s="1">
        <f>IFERROR(VLOOKUP(C200,$C$228:$D$315,2,FALSE),0)</f>
        <v>0</v>
      </c>
    </row>
    <row r="201" hidden="1" spans="3:6" x14ac:dyDescent="0.25">
      <c r="C201" t="s">
        <v>195</v>
      </c>
      <c r="D201" s="2">
        <f>IF(F201&gt;0,F201,0)</f>
        <v>0</v>
      </c>
      <c r="E201" s="2">
        <f>IF(F201&lt;0,-F201,0)</f>
        <v>0</v>
      </c>
      <c r="F201" s="1">
        <f>IFERROR(VLOOKUP(C201,$C$228:$D$315,2,FALSE),0)</f>
        <v>0</v>
      </c>
    </row>
    <row r="202" hidden="1" spans="3:6" x14ac:dyDescent="0.25">
      <c r="C202" t="s">
        <v>196</v>
      </c>
      <c r="D202" s="2">
        <f>IF(F202&gt;0,F202,0)</f>
        <v>0</v>
      </c>
      <c r="E202" s="2">
        <f>IF(F202&lt;0,-F202,0)</f>
        <v>0</v>
      </c>
      <c r="F202" s="1">
        <f>IFERROR(VLOOKUP(C202,$C$228:$D$315,2,FALSE),0)</f>
        <v>0</v>
      </c>
    </row>
    <row r="203" hidden="1" spans="3:6" x14ac:dyDescent="0.25">
      <c r="C203" t="s">
        <v>197</v>
      </c>
      <c r="D203" s="2">
        <f>IF(F203&gt;0,F203,0)</f>
        <v>0</v>
      </c>
      <c r="E203" s="2">
        <f>IF(F203&lt;0,-F203,0)</f>
        <v>0</v>
      </c>
      <c r="F203" s="1">
        <f>IFERROR(VLOOKUP(C203,$C$228:$D$315,2,FALSE),0)</f>
        <v>0</v>
      </c>
    </row>
    <row r="204" hidden="1" spans="3:6" x14ac:dyDescent="0.25">
      <c r="C204" t="s">
        <v>198</v>
      </c>
      <c r="D204" s="2">
        <f>IF(F204&gt;0,F204,0)</f>
        <v>0</v>
      </c>
      <c r="E204" s="2">
        <f>IF(F204&lt;0,-F204,0)</f>
        <v>0</v>
      </c>
      <c r="F204" s="1">
        <f>IFERROR(VLOOKUP(C204,$C$228:$D$315,2,FALSE),0)</f>
        <v>0</v>
      </c>
    </row>
    <row r="205" hidden="1" spans="3:6" x14ac:dyDescent="0.25">
      <c r="C205" t="s">
        <v>199</v>
      </c>
      <c r="D205" s="2">
        <f>IF(F205&gt;0,F205,0)</f>
        <v>0</v>
      </c>
      <c r="E205" s="2">
        <f>IF(F205&lt;0,-F205,0)</f>
        <v>0</v>
      </c>
      <c r="F205" s="1">
        <f>IFERROR(VLOOKUP(C205,$C$228:$D$315,2,FALSE),0)</f>
        <v>0</v>
      </c>
    </row>
    <row r="206" spans="3:6" x14ac:dyDescent="0.25">
      <c r="C206" t="s">
        <v>200</v>
      </c>
      <c r="D206" s="2">
        <f>IF(F206&gt;0,F206,0)</f>
        <v>3210.9199999999996</v>
      </c>
      <c r="E206" s="2">
        <f>IF(F206&lt;0,-F206,0)</f>
        <v>0</v>
      </c>
      <c r="F206" s="1">
        <f>IFERROR(VLOOKUP(C206,$C$228:$D$315,2,FALSE),0)</f>
        <v>3210.9199999999996</v>
      </c>
    </row>
    <row r="207" hidden="1" spans="3:6" x14ac:dyDescent="0.25">
      <c r="C207" t="s">
        <v>201</v>
      </c>
      <c r="D207" s="2">
        <f>IF(F207&gt;0,F207,0)</f>
        <v>0</v>
      </c>
      <c r="E207" s="2">
        <f>IF(F207&lt;0,-F207,0)</f>
        <v>0</v>
      </c>
      <c r="F207" s="1">
        <f>IFERROR(VLOOKUP(C207,$C$228:$D$315,2,FALSE),0)</f>
        <v>0</v>
      </c>
    </row>
    <row r="208" hidden="1" spans="3:6" x14ac:dyDescent="0.25">
      <c r="C208" t="s">
        <v>202</v>
      </c>
      <c r="D208" s="2">
        <f>IF(F208&gt;0,F208,0)</f>
        <v>0</v>
      </c>
      <c r="E208" s="2">
        <f>IF(F208&lt;0,-F208,0)</f>
        <v>0</v>
      </c>
      <c r="F208" s="1">
        <f>IFERROR(VLOOKUP(C208,$C$228:$D$315,2,FALSE),0)</f>
        <v>0</v>
      </c>
    </row>
    <row r="209" spans="3:7" x14ac:dyDescent="0.25">
      <c r="C209" t="s">
        <v>203</v>
      </c>
      <c r="E209" s="2">
        <v>107528.258099</v>
      </c>
      <c r="F209" s="1">
        <v>-107528.258099</v>
      </c>
      <c r="G209" s="3">
        <f>SUM(F116:F209)</f>
        <v>1959559.8919009997</v>
      </c>
    </row>
    <row r="211" spans="4:7" x14ac:dyDescent="0.25">
      <c r="D211" s="1">
        <f>SUM(D5:D209)</f>
        <v>6040921.947328211</v>
      </c>
      <c r="E211" s="1">
        <f>SUM(E5:E209)</f>
        <v>6040921.947328214</v>
      </c>
      <c r="F211" t="s">
        <v>204</v>
      </c>
      <c r="G211" s="3">
        <f>+D211-E211</f>
        <v>0</v>
      </c>
    </row>
    <row r="213" spans="3:3" x14ac:dyDescent="0.25">
      <c r="C213" t="s">
        <v>205</v>
      </c>
    </row>
    <row r="214" spans="3:4" x14ac:dyDescent="0.25">
      <c r="C214" t="s">
        <v>206</v>
      </c>
      <c r="D214" s="1">
        <v>6262.5</v>
      </c>
    </row>
    <row r="215" spans="3:4" x14ac:dyDescent="0.25">
      <c r="C215" t="s">
        <v>207</v>
      </c>
      <c r="D215" s="1">
        <v>626.6</v>
      </c>
    </row>
    <row r="216" spans="3:4" x14ac:dyDescent="0.25">
      <c r="C216" t="s">
        <v>208</v>
      </c>
      <c r="D216" s="1">
        <v>-1326.48</v>
      </c>
    </row>
    <row r="217" spans="3:4" x14ac:dyDescent="0.25">
      <c r="C217" t="s">
        <v>209</v>
      </c>
      <c r="D217" s="1">
        <v>3111.17</v>
      </c>
    </row>
    <row r="218" spans="3:4" x14ac:dyDescent="0.25">
      <c r="C218" t="s">
        <v>210</v>
      </c>
      <c r="D218" s="1">
        <v>37.643898549256846</v>
      </c>
    </row>
    <row r="219" spans="3:4" x14ac:dyDescent="0.25">
      <c r="C219" t="s">
        <v>211</v>
      </c>
      <c r="D219" s="1">
        <v>2602.16</v>
      </c>
    </row>
    <row r="220" spans="3:4" x14ac:dyDescent="0.25">
      <c r="C220" t="s">
        <v>212</v>
      </c>
      <c r="D220" s="1">
        <v>3231.78</v>
      </c>
    </row>
    <row r="221" spans="3:4" x14ac:dyDescent="0.25">
      <c r="C221" t="s">
        <v>213</v>
      </c>
      <c r="D221" s="1">
        <v>92982.88420045075</v>
      </c>
    </row>
    <row r="222" spans="4:6" x14ac:dyDescent="0.25">
      <c r="D222" s="1">
        <f>SUM(D214:D221)</f>
        <v>107528.258099</v>
      </c>
      <c r="E222" s="1">
        <f>+E209-D222-D209</f>
        <v>0</v>
      </c>
      <c r="F222" t="s">
        <v>214</v>
      </c>
    </row>
    <row r="228" hidden="1" spans="3:5" x14ac:dyDescent="0.25">
      <c r="C228" t="s">
        <v>7</v>
      </c>
      <c r="D228" s="1">
        <v>16641.693598753238</v>
      </c>
      <c r="E228" s="1">
        <v>16641.693598753238</v>
      </c>
    </row>
    <row r="229" hidden="1" spans="3:5" x14ac:dyDescent="0.25">
      <c r="C229" t="s">
        <v>9</v>
      </c>
      <c r="D229" s="1">
        <v>749.5355856573378</v>
      </c>
      <c r="E229" s="1">
        <v>749.5355856573378</v>
      </c>
    </row>
    <row r="230" hidden="1" spans="3:5" x14ac:dyDescent="0.25">
      <c r="C230" t="s">
        <v>11</v>
      </c>
      <c r="D230" s="1">
        <v>778.039005279087</v>
      </c>
      <c r="E230" s="1">
        <v>778.039005279087</v>
      </c>
    </row>
    <row r="231" hidden="1" spans="3:5" x14ac:dyDescent="0.25">
      <c r="C231" t="s">
        <v>12</v>
      </c>
      <c r="D231" s="1">
        <v>-1392772.0842143465</v>
      </c>
      <c r="E231" s="1">
        <v>-1392772.0842143465</v>
      </c>
    </row>
    <row r="232" hidden="1" spans="3:5" x14ac:dyDescent="0.25">
      <c r="C232" t="s">
        <v>14</v>
      </c>
      <c r="D232" s="1">
        <v>2474.5724151080735</v>
      </c>
      <c r="E232" s="1">
        <v>2474.5724151080735</v>
      </c>
    </row>
    <row r="233" hidden="1" spans="3:5" x14ac:dyDescent="0.25">
      <c r="C233" t="s">
        <v>18</v>
      </c>
      <c r="D233" s="1">
        <v>532.771031159813</v>
      </c>
      <c r="E233" s="1">
        <v>532.771031159813</v>
      </c>
    </row>
    <row r="234" hidden="1" spans="3:5" x14ac:dyDescent="0.25">
      <c r="C234" t="s">
        <v>19</v>
      </c>
      <c r="D234" s="1">
        <v>96140.96345638469</v>
      </c>
      <c r="E234" s="1">
        <v>96140.96345638469</v>
      </c>
    </row>
    <row r="235" hidden="1" spans="3:5" x14ac:dyDescent="0.25">
      <c r="C235" t="s">
        <v>20</v>
      </c>
      <c r="D235" s="1">
        <v>5457.478228925522</v>
      </c>
      <c r="E235" s="1">
        <v>5457.478228925522</v>
      </c>
    </row>
    <row r="236" hidden="1" spans="3:5" x14ac:dyDescent="0.25">
      <c r="C236" t="s">
        <v>21</v>
      </c>
      <c r="D236" s="1">
        <v>2387.6467251549157</v>
      </c>
      <c r="E236" s="1">
        <v>2387.6467251549157</v>
      </c>
    </row>
    <row r="237" hidden="1" spans="3:5" x14ac:dyDescent="0.25">
      <c r="C237" t="s">
        <v>23</v>
      </c>
      <c r="D237" s="1">
        <v>682.1847786156902</v>
      </c>
      <c r="E237" s="1">
        <v>682.1847786156902</v>
      </c>
    </row>
    <row r="238" hidden="1" spans="3:5" x14ac:dyDescent="0.25">
      <c r="C238" t="s">
        <v>24</v>
      </c>
      <c r="D238" s="1">
        <v>56508.601122125736</v>
      </c>
      <c r="E238" s="1">
        <v>56508.601122125736</v>
      </c>
    </row>
    <row r="239" hidden="1" spans="3:5" x14ac:dyDescent="0.25">
      <c r="C239" t="s">
        <v>25</v>
      </c>
      <c r="D239" s="1">
        <v>9.834921516346682</v>
      </c>
      <c r="E239" s="1">
        <v>9.834921516346682</v>
      </c>
    </row>
    <row r="240" hidden="1" spans="3:5" x14ac:dyDescent="0.25">
      <c r="C240" t="s">
        <v>27</v>
      </c>
      <c r="D240" s="1">
        <v>61778.081096079935</v>
      </c>
      <c r="E240" s="1">
        <v>61778.081096079935</v>
      </c>
    </row>
    <row r="241" hidden="1" spans="3:5" x14ac:dyDescent="0.25">
      <c r="C241" t="s">
        <v>30</v>
      </c>
      <c r="D241" s="1">
        <v>2572.141176775565</v>
      </c>
      <c r="E241" s="1">
        <v>2572.141176775565</v>
      </c>
    </row>
    <row r="242" hidden="1" spans="3:5" x14ac:dyDescent="0.25">
      <c r="C242" t="s">
        <v>31</v>
      </c>
      <c r="D242" s="1">
        <v>9937.407772881586</v>
      </c>
      <c r="E242" s="1">
        <v>9937.407772881586</v>
      </c>
    </row>
    <row r="243" hidden="1" spans="3:5" x14ac:dyDescent="0.25">
      <c r="C243" t="s">
        <v>32</v>
      </c>
      <c r="D243" s="1">
        <v>303.2669829047905</v>
      </c>
      <c r="E243" s="1">
        <v>303.2669829047905</v>
      </c>
    </row>
    <row r="244" hidden="1" spans="3:5" x14ac:dyDescent="0.25">
      <c r="C244" t="s">
        <v>33</v>
      </c>
      <c r="D244" s="1">
        <v>888.6969486215945</v>
      </c>
      <c r="E244" s="1">
        <v>888.6969486215945</v>
      </c>
    </row>
    <row r="245" hidden="1" spans="3:5" x14ac:dyDescent="0.25">
      <c r="C245" t="s">
        <v>34</v>
      </c>
      <c r="D245" s="1">
        <v>65735.0037196125</v>
      </c>
      <c r="E245" s="1">
        <v>65735.0037196125</v>
      </c>
    </row>
    <row r="246" hidden="1" spans="3:5" x14ac:dyDescent="0.25">
      <c r="C246" t="s">
        <v>35</v>
      </c>
      <c r="D246" s="1">
        <v>9663.398637745217</v>
      </c>
      <c r="E246" s="1">
        <v>9663.398637745217</v>
      </c>
    </row>
    <row r="247" hidden="1" spans="3:5" x14ac:dyDescent="0.25">
      <c r="C247" t="s">
        <v>36</v>
      </c>
      <c r="D247" s="1">
        <v>32628.728063069346</v>
      </c>
      <c r="E247" s="1">
        <v>32628.728063069346</v>
      </c>
    </row>
    <row r="248" hidden="1" spans="3:5" x14ac:dyDescent="0.25">
      <c r="C248" t="s">
        <v>37</v>
      </c>
      <c r="D248" s="1">
        <v>1256.7771476285382</v>
      </c>
      <c r="E248" s="1">
        <v>1256.7771476285382</v>
      </c>
    </row>
    <row r="249" hidden="1" spans="3:5" x14ac:dyDescent="0.25">
      <c r="C249" t="s">
        <v>39</v>
      </c>
      <c r="D249" s="1">
        <v>567044.3127107738</v>
      </c>
      <c r="E249" s="1">
        <v>567044.3127107738</v>
      </c>
    </row>
    <row r="250" hidden="1" spans="3:5" x14ac:dyDescent="0.25">
      <c r="C250" t="s">
        <v>40</v>
      </c>
      <c r="D250" s="1">
        <v>-2572.141176775565</v>
      </c>
      <c r="E250" s="1">
        <v>-2572.141176775565</v>
      </c>
    </row>
    <row r="251" hidden="1" spans="3:5" x14ac:dyDescent="0.25">
      <c r="C251" t="s">
        <v>41</v>
      </c>
      <c r="D251" s="1">
        <v>-9419.461128599676</v>
      </c>
      <c r="E251" s="1">
        <v>-9419.461128599676</v>
      </c>
    </row>
    <row r="252" hidden="1" spans="3:5" x14ac:dyDescent="0.25">
      <c r="C252" t="s">
        <v>42</v>
      </c>
      <c r="D252" s="1">
        <v>-9663.398637745217</v>
      </c>
      <c r="E252" s="1">
        <v>-9663.398637745217</v>
      </c>
    </row>
    <row r="253" hidden="1" spans="3:5" x14ac:dyDescent="0.25">
      <c r="C253" t="s">
        <v>43</v>
      </c>
      <c r="D253" s="1">
        <v>-33885.50521069789</v>
      </c>
      <c r="E253" s="1">
        <v>-33885.50521069789</v>
      </c>
    </row>
    <row r="254" hidden="1" spans="3:5" x14ac:dyDescent="0.25">
      <c r="C254" t="s">
        <v>44</v>
      </c>
      <c r="D254" s="1">
        <v>-1191.963931526385</v>
      </c>
      <c r="E254" s="1">
        <v>-1191.963931526385</v>
      </c>
    </row>
    <row r="255" hidden="1" spans="3:5" x14ac:dyDescent="0.25">
      <c r="C255" t="s">
        <v>45</v>
      </c>
      <c r="D255" s="1">
        <v>-59281.18285383134</v>
      </c>
      <c r="E255" s="1">
        <v>-59281.18285383134</v>
      </c>
    </row>
    <row r="256" hidden="1" spans="3:5" x14ac:dyDescent="0.25">
      <c r="C256" t="s">
        <v>46</v>
      </c>
      <c r="D256" s="1">
        <v>-309747.97887410177</v>
      </c>
      <c r="E256" s="1">
        <v>-309747.97887410177</v>
      </c>
    </row>
    <row r="257" hidden="1" spans="3:5" x14ac:dyDescent="0.25">
      <c r="C257" s="2" t="s">
        <v>55</v>
      </c>
      <c r="D257" s="1">
        <v>-2870.8206034811205</v>
      </c>
      <c r="E257" s="1">
        <v>-2870.8206034811205</v>
      </c>
    </row>
    <row r="258" hidden="1" spans="3:5" x14ac:dyDescent="0.25">
      <c r="C258" s="2" t="s">
        <v>58</v>
      </c>
      <c r="D258" s="1">
        <v>-22.17100530500993</v>
      </c>
      <c r="E258" s="1">
        <v>-22.17100530500993</v>
      </c>
    </row>
    <row r="259" hidden="1" spans="3:5" x14ac:dyDescent="0.25">
      <c r="C259" s="2" t="s">
        <v>59</v>
      </c>
      <c r="D259" s="1">
        <v>-44421.53592538536</v>
      </c>
      <c r="E259" s="1">
        <v>-44421.53592538536</v>
      </c>
    </row>
    <row r="260" hidden="1" spans="3:5" x14ac:dyDescent="0.25">
      <c r="C260" s="2" t="s">
        <v>62</v>
      </c>
      <c r="D260" s="1">
        <v>-719.9798619053353</v>
      </c>
      <c r="E260" s="1">
        <v>-719.9798619053353</v>
      </c>
    </row>
    <row r="261" hidden="1" spans="3:5" x14ac:dyDescent="0.25">
      <c r="C261" s="2" t="s">
        <v>63</v>
      </c>
      <c r="D261" s="1">
        <v>0.3410923893078451</v>
      </c>
      <c r="E261" s="1">
        <v>0.3410923893078451</v>
      </c>
    </row>
    <row r="262" hidden="1" spans="3:5" x14ac:dyDescent="0.25">
      <c r="C262" s="2" t="s">
        <v>64</v>
      </c>
      <c r="D262" s="1">
        <v>2.0465543358470706</v>
      </c>
      <c r="E262" s="1">
        <v>2.0465543358470706</v>
      </c>
    </row>
    <row r="263" hidden="1" spans="3:5" x14ac:dyDescent="0.25">
      <c r="C263" s="2" t="s">
        <v>65</v>
      </c>
      <c r="D263" s="1">
        <v>-27115.82167280576</v>
      </c>
      <c r="E263" s="1">
        <v>-27115.82167280576</v>
      </c>
    </row>
    <row r="264" hidden="1" spans="3:5" x14ac:dyDescent="0.25">
      <c r="C264" s="2" t="s">
        <v>69</v>
      </c>
      <c r="D264" s="1">
        <v>7608.57216338189</v>
      </c>
      <c r="E264" s="1">
        <v>7608.57216338189</v>
      </c>
    </row>
    <row r="265" hidden="1" spans="3:5" x14ac:dyDescent="0.25">
      <c r="C265" s="2" t="s">
        <v>70</v>
      </c>
      <c r="D265" s="1">
        <v>-122.79326015082422</v>
      </c>
      <c r="E265" s="1">
        <v>-122.79326015082422</v>
      </c>
    </row>
    <row r="266" hidden="1" spans="3:5" x14ac:dyDescent="0.25">
      <c r="C266" s="2" t="s">
        <v>74</v>
      </c>
      <c r="D266" s="1">
        <v>-46146.18483046174</v>
      </c>
      <c r="E266" s="1">
        <v>-46146.18483046174</v>
      </c>
    </row>
    <row r="267" hidden="1" spans="3:5" x14ac:dyDescent="0.25">
      <c r="C267" s="2" t="s">
        <v>75</v>
      </c>
      <c r="D267" s="1">
        <v>-2887.9379839461453</v>
      </c>
      <c r="E267" s="1">
        <v>-2887.9379839461453</v>
      </c>
    </row>
    <row r="268" hidden="1" spans="3:5" x14ac:dyDescent="0.25">
      <c r="C268" s="4" t="s">
        <v>76</v>
      </c>
      <c r="D268" s="4">
        <v>-2005.011772803817</v>
      </c>
      <c r="E268" s="1">
        <v>-2005.011772803817</v>
      </c>
    </row>
    <row r="269" hidden="1" spans="3:5" x14ac:dyDescent="0.25">
      <c r="C269" s="2" t="s">
        <v>77</v>
      </c>
      <c r="D269" s="1">
        <v>203.53504741354757</v>
      </c>
      <c r="E269" s="1">
        <v>203.53504741354757</v>
      </c>
    </row>
    <row r="270" hidden="1" spans="3:5" x14ac:dyDescent="0.25">
      <c r="C270" s="4" t="s">
        <v>82</v>
      </c>
      <c r="D270" s="1">
        <v>-434488.60188617266</v>
      </c>
      <c r="E270" s="1">
        <v>-434488.60188617266</v>
      </c>
    </row>
    <row r="271" hidden="1" spans="3:5" x14ac:dyDescent="0.25">
      <c r="C271" s="2" t="s">
        <v>86</v>
      </c>
      <c r="D271" s="1">
        <v>-112.56048847158888</v>
      </c>
      <c r="E271" s="1">
        <v>-2.060198031419384</v>
      </c>
    </row>
    <row r="272" hidden="1" spans="3:5" x14ac:dyDescent="0.25">
      <c r="C272" s="2" t="s">
        <v>84</v>
      </c>
      <c r="D272" s="1">
        <v>-2.060198031419384</v>
      </c>
      <c r="E272" s="1">
        <v>-112.56048847158888</v>
      </c>
    </row>
    <row r="273" hidden="1" spans="3:5" x14ac:dyDescent="0.25">
      <c r="C273" s="2" t="s">
        <v>91</v>
      </c>
      <c r="D273" s="1">
        <v>-6.821847786156901</v>
      </c>
      <c r="E273" s="1">
        <v>-6.821847786156901</v>
      </c>
    </row>
    <row r="274" hidden="1" spans="3:5" x14ac:dyDescent="0.25">
      <c r="C274" s="2" t="s">
        <v>97</v>
      </c>
      <c r="D274" s="1">
        <v>-56106.28711724744</v>
      </c>
      <c r="E274" s="1">
        <v>-0.3410923893078451</v>
      </c>
    </row>
    <row r="275" hidden="1" spans="3:5" x14ac:dyDescent="0.25">
      <c r="C275" s="2" t="s">
        <v>96</v>
      </c>
      <c r="D275" s="1">
        <v>-0.3410923893078451</v>
      </c>
      <c r="E275" s="1">
        <v>-56106.28711724744</v>
      </c>
    </row>
    <row r="276" hidden="1" spans="3:5" x14ac:dyDescent="0.25">
      <c r="C276" s="2" t="s">
        <v>100</v>
      </c>
      <c r="D276" s="1">
        <v>-696.3054236759732</v>
      </c>
      <c r="E276" s="1">
        <v>-696.3054236759732</v>
      </c>
    </row>
    <row r="277" hidden="1" spans="3:5" x14ac:dyDescent="0.25">
      <c r="C277" s="2" t="s">
        <v>102</v>
      </c>
      <c r="D277" s="1">
        <v>-2046.5543358470704</v>
      </c>
      <c r="E277" s="1">
        <v>-2046.5543358470704</v>
      </c>
    </row>
    <row r="278" hidden="1" spans="3:5" x14ac:dyDescent="0.25">
      <c r="C278" s="2" t="s">
        <v>105</v>
      </c>
      <c r="D278" s="1">
        <v>-11678.627014449014</v>
      </c>
      <c r="E278" s="1">
        <v>-11678.627014449014</v>
      </c>
    </row>
    <row r="279" hidden="1" spans="3:5" x14ac:dyDescent="0.25">
      <c r="C279" s="2" t="s">
        <v>108</v>
      </c>
      <c r="D279" s="1">
        <v>-3342261.546881273</v>
      </c>
      <c r="E279" s="1">
        <v>-3342261.546881273</v>
      </c>
    </row>
    <row r="280" hidden="1" spans="3:5" x14ac:dyDescent="0.25">
      <c r="C280" s="2" t="s">
        <v>109</v>
      </c>
      <c r="D280" s="1">
        <v>2890700.157345919</v>
      </c>
      <c r="E280" s="1">
        <v>2890700.157345919</v>
      </c>
    </row>
    <row r="281" hidden="1" spans="3:5" x14ac:dyDescent="0.25">
      <c r="C281" s="2" t="s">
        <v>111</v>
      </c>
      <c r="D281" s="1">
        <v>-115882.33</v>
      </c>
      <c r="E281" s="1">
        <v>-115882.33</v>
      </c>
    </row>
    <row r="282" hidden="1" spans="3:5" x14ac:dyDescent="0.25">
      <c r="C282" s="2" t="s">
        <v>119</v>
      </c>
      <c r="D282" s="1">
        <v>2518.73</v>
      </c>
      <c r="E282" s="1">
        <v>-21805.53</v>
      </c>
    </row>
    <row r="283" hidden="1" spans="3:5" x14ac:dyDescent="0.25">
      <c r="C283" s="2" t="s">
        <v>120</v>
      </c>
      <c r="D283" s="1">
        <v>711028.12</v>
      </c>
      <c r="E283" s="1">
        <v>2518.73</v>
      </c>
    </row>
    <row r="284" hidden="1" spans="3:5" x14ac:dyDescent="0.25">
      <c r="C284" s="2" t="s">
        <v>121</v>
      </c>
      <c r="D284" s="1">
        <v>123093.34</v>
      </c>
      <c r="E284" s="1">
        <v>711028.12</v>
      </c>
    </row>
    <row r="285" hidden="1" spans="3:5" x14ac:dyDescent="0.25">
      <c r="C285" s="2" t="s">
        <v>122</v>
      </c>
      <c r="D285" s="1">
        <v>1883.1100000000001</v>
      </c>
      <c r="E285" s="1">
        <v>123093.34</v>
      </c>
    </row>
    <row r="286" hidden="1" spans="3:5" x14ac:dyDescent="0.25">
      <c r="C286" s="2" t="s">
        <v>123</v>
      </c>
      <c r="D286" s="1">
        <v>220136.64</v>
      </c>
      <c r="E286" s="1">
        <v>1883.1100000000001</v>
      </c>
    </row>
    <row r="287" hidden="1" spans="3:5" x14ac:dyDescent="0.25">
      <c r="C287" s="2" t="s">
        <v>156</v>
      </c>
      <c r="D287" s="1">
        <v>27649.36</v>
      </c>
      <c r="E287" s="1">
        <v>220136.64</v>
      </c>
    </row>
    <row r="288" hidden="1" spans="3:5" x14ac:dyDescent="0.25">
      <c r="C288" s="2" t="s">
        <v>135</v>
      </c>
      <c r="D288" s="1">
        <v>4934.13</v>
      </c>
      <c r="E288" s="1">
        <v>1360.76</v>
      </c>
    </row>
    <row r="289" hidden="1" spans="3:5" x14ac:dyDescent="0.25">
      <c r="C289" s="2" t="s">
        <v>127</v>
      </c>
      <c r="D289" s="1">
        <v>1360.76</v>
      </c>
      <c r="E289" s="1">
        <v>63260.99</v>
      </c>
    </row>
    <row r="290" hidden="1" spans="3:5" x14ac:dyDescent="0.25">
      <c r="C290" s="2" t="s">
        <v>128</v>
      </c>
      <c r="D290" s="1">
        <v>63260.99</v>
      </c>
      <c r="E290" s="1">
        <v>4365.51</v>
      </c>
    </row>
    <row r="291" hidden="1" spans="3:5" x14ac:dyDescent="0.25">
      <c r="C291" s="2" t="s">
        <v>130</v>
      </c>
      <c r="D291" s="1">
        <v>4365.51</v>
      </c>
      <c r="E291" s="1">
        <v>204.11</v>
      </c>
    </row>
    <row r="292" hidden="1" spans="3:5" x14ac:dyDescent="0.25">
      <c r="C292" s="2" t="s">
        <v>133</v>
      </c>
      <c r="D292" s="1">
        <v>204.11</v>
      </c>
      <c r="E292" s="1">
        <v>4934.13</v>
      </c>
    </row>
    <row r="293" hidden="1" spans="3:5" x14ac:dyDescent="0.25">
      <c r="C293" s="2" t="s">
        <v>138</v>
      </c>
      <c r="D293" s="1">
        <v>127567.82</v>
      </c>
      <c r="E293" s="1">
        <v>127567.82</v>
      </c>
    </row>
    <row r="294" hidden="1" spans="3:5" x14ac:dyDescent="0.25">
      <c r="C294" s="2" t="s">
        <v>139</v>
      </c>
      <c r="D294" s="1">
        <v>6917.72</v>
      </c>
      <c r="E294" s="1">
        <v>6917.72</v>
      </c>
    </row>
    <row r="295" hidden="1" spans="3:5" x14ac:dyDescent="0.25">
      <c r="C295" s="2" t="s">
        <v>142</v>
      </c>
      <c r="D295" s="1">
        <v>31892.49</v>
      </c>
      <c r="E295" s="1">
        <v>31892.49</v>
      </c>
    </row>
    <row r="296" hidden="1" spans="3:5" x14ac:dyDescent="0.25">
      <c r="C296" s="2" t="s">
        <v>144</v>
      </c>
      <c r="D296" s="1">
        <v>278459.11</v>
      </c>
      <c r="E296" s="1">
        <v>278459.11</v>
      </c>
    </row>
    <row r="297" hidden="1" spans="3:5" x14ac:dyDescent="0.25">
      <c r="C297" s="2" t="s">
        <v>145</v>
      </c>
      <c r="D297" s="1">
        <v>-3460.15</v>
      </c>
      <c r="E297" s="1">
        <v>-3460.15</v>
      </c>
    </row>
    <row r="298" hidden="1" spans="3:5" x14ac:dyDescent="0.25">
      <c r="C298" s="2" t="s">
        <v>148</v>
      </c>
      <c r="D298" s="1">
        <v>388278.17</v>
      </c>
      <c r="E298" s="1">
        <v>388278.17</v>
      </c>
    </row>
    <row r="299" hidden="1" spans="3:5" x14ac:dyDescent="0.25">
      <c r="C299" s="2" t="s">
        <v>150</v>
      </c>
      <c r="D299" s="1">
        <v>18371.81</v>
      </c>
      <c r="E299" s="1">
        <v>18371.81</v>
      </c>
    </row>
    <row r="300" hidden="1" spans="3:5" x14ac:dyDescent="0.25">
      <c r="C300" s="2" t="s">
        <v>153</v>
      </c>
      <c r="D300" s="1">
        <v>13081.470000000001</v>
      </c>
      <c r="E300" s="1">
        <v>13081.470000000001</v>
      </c>
    </row>
    <row r="301" hidden="1" spans="3:5" x14ac:dyDescent="0.25">
      <c r="C301" s="2" t="s">
        <v>155</v>
      </c>
      <c r="D301" s="1">
        <v>530.79</v>
      </c>
      <c r="E301" s="1">
        <v>530.79</v>
      </c>
    </row>
    <row r="302" hidden="1" spans="3:5" x14ac:dyDescent="0.25">
      <c r="C302" s="2" t="s">
        <v>157</v>
      </c>
      <c r="D302" s="1">
        <v>1118.3600000000001</v>
      </c>
      <c r="E302" s="1">
        <v>27649.36</v>
      </c>
    </row>
    <row r="303" hidden="1" spans="3:5" x14ac:dyDescent="0.25">
      <c r="C303" s="2" t="s">
        <v>158</v>
      </c>
      <c r="D303" s="1">
        <v>776.0600000000001</v>
      </c>
      <c r="E303" s="1">
        <v>1118.3600000000001</v>
      </c>
    </row>
    <row r="304" hidden="1" spans="3:5" x14ac:dyDescent="0.25">
      <c r="C304" s="2" t="s">
        <v>163</v>
      </c>
      <c r="D304" s="1">
        <v>3033.18</v>
      </c>
      <c r="E304" s="1">
        <v>776.0600000000001</v>
      </c>
    </row>
    <row r="305" hidden="1" spans="3:5" x14ac:dyDescent="0.25">
      <c r="C305" s="2" t="s">
        <v>164</v>
      </c>
      <c r="D305" s="1">
        <v>770.8100000000001</v>
      </c>
      <c r="E305" s="1">
        <v>3356.67</v>
      </c>
    </row>
    <row r="306" hidden="1" spans="3:5" x14ac:dyDescent="0.25">
      <c r="C306" s="2" t="s">
        <v>165</v>
      </c>
      <c r="D306" s="1">
        <v>2519.38</v>
      </c>
      <c r="E306" s="1">
        <v>3033.18</v>
      </c>
    </row>
    <row r="307" hidden="1" spans="3:5" x14ac:dyDescent="0.25">
      <c r="C307" s="2" t="s">
        <v>169</v>
      </c>
      <c r="D307" s="1">
        <v>8627.79</v>
      </c>
      <c r="E307" s="1">
        <v>770.8100000000001</v>
      </c>
    </row>
    <row r="308" hidden="1" spans="3:5" x14ac:dyDescent="0.25">
      <c r="C308" s="2" t="s">
        <v>175</v>
      </c>
      <c r="D308" s="1">
        <v>2342.32</v>
      </c>
      <c r="E308" s="1">
        <v>2519.38</v>
      </c>
    </row>
    <row r="309" hidden="1" spans="3:5" x14ac:dyDescent="0.25">
      <c r="C309" s="2" t="s">
        <v>177</v>
      </c>
      <c r="D309" s="1">
        <v>126714.18000000001</v>
      </c>
      <c r="E309" s="1">
        <v>278459.11</v>
      </c>
    </row>
    <row r="310" hidden="1" spans="3:5" x14ac:dyDescent="0.25">
      <c r="C310" s="2" t="s">
        <v>181</v>
      </c>
      <c r="D310" s="1">
        <v>275.24</v>
      </c>
      <c r="E310" s="1">
        <v>8627.79</v>
      </c>
    </row>
    <row r="311" hidden="1" spans="3:5" x14ac:dyDescent="0.25">
      <c r="C311" s="2" t="s">
        <v>200</v>
      </c>
      <c r="D311" s="1">
        <v>3210.9199999999996</v>
      </c>
      <c r="E311" s="1">
        <v>2342.32</v>
      </c>
    </row>
    <row r="312" hidden="1" spans="3:5" x14ac:dyDescent="0.25">
      <c r="C312" s="2" t="s">
        <v>189</v>
      </c>
      <c r="D312" s="1">
        <v>29891.64</v>
      </c>
      <c r="E312" s="1">
        <v>126714.18000000001</v>
      </c>
    </row>
    <row r="313" hidden="1" spans="3:5" x14ac:dyDescent="0.25">
      <c r="C313" s="2" t="s">
        <v>193</v>
      </c>
      <c r="D313" s="1">
        <v>65.43</v>
      </c>
      <c r="E313" s="1">
        <v>275.24</v>
      </c>
    </row>
    <row r="314" hidden="1" spans="3:5" x14ac:dyDescent="0.25">
      <c r="C314" s="2" t="s">
        <v>161</v>
      </c>
      <c r="D314" s="1">
        <v>3356.67</v>
      </c>
      <c r="E314" s="1">
        <v>29891.64</v>
      </c>
    </row>
    <row r="315" hidden="1" spans="3:5" x14ac:dyDescent="0.25">
      <c r="C315" s="2" t="s">
        <v>113</v>
      </c>
      <c r="D315" s="1">
        <v>-21805.53</v>
      </c>
      <c r="E315" s="1">
        <v>65.43</v>
      </c>
    </row>
    <row r="316" hidden="1" spans="4:5" x14ac:dyDescent="0.25">
      <c r="D316" s="1">
        <v>-107528.258099</v>
      </c>
      <c r="E316" s="1">
        <v>3210.9199999999996</v>
      </c>
    </row>
    <row r="317" hidden="1" spans="5:5" x14ac:dyDescent="0.25">
      <c r="E317" s="1">
        <v>-107528.258099</v>
      </c>
    </row>
  </sheetData>
  <autoFilter ref="B1:F380"/>
  <mergeCells count="2">
    <mergeCell ref="D1:E1"/>
    <mergeCell ref="D2:E2"/>
  </mergeCells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2"/>
  <sheetViews>
    <sheetView workbookViewId="0" zoomScale="100" zoomScaleNormal="100">
      <selection activeCell="A7" sqref="A7"/>
    </sheetView>
  </sheetViews>
  <sheetFormatPr defaultRowHeight="0" outlineLevelRow="0" outlineLevelCol="0" x14ac:dyDescent="0" customHeight="1"/>
  <cols>
    <col min="1" max="3" width="2.109375" customWidth="1"/>
    <col min="4" max="4" width="30.44140625" customWidth="1"/>
    <col min="5" max="5" width="1.5546875" customWidth="1"/>
    <col min="6" max="6" width="14" customWidth="1"/>
    <col min="7" max="7" width="9.44140625" hidden="1" customWidth="1"/>
    <col min="8" max="8" width="1.88671875" customWidth="1"/>
    <col min="9" max="9" width="2.44140625" customWidth="1"/>
    <col min="10" max="10" width="2" customWidth="1"/>
    <col min="11" max="11" width="35.5546875" customWidth="1"/>
    <col min="12" max="12" width="13.88671875" customWidth="1"/>
    <col min="13" max="13" width="10.109375" hidden="1" customWidth="1"/>
    <col min="14" max="14" width="14.5546875" customWidth="1"/>
    <col min="15" max="15" width="12.6640625" customWidth="1"/>
    <col min="16" max="16" width="13.88671875" customWidth="1"/>
    <col min="17" max="17" width="13.5546875" customWidth="1"/>
    <col min="18" max="18" width="11.6640625" customWidth="1"/>
    <col min="19" max="19" width="11.5546875" customWidth="1"/>
    <col min="20" max="257" width="9.109375" customWidth="1"/>
  </cols>
  <sheetData>
    <row r="1" spans="1:19" x14ac:dyDescent="0.25"/>
    <row r="2" spans="1:19" x14ac:dyDescent="0.25"/>
    <row r="3" spans="1:19" x14ac:dyDescent="0.25"/>
    <row r="4" spans="1:19" x14ac:dyDescent="0.25"/>
    <row r="5" spans="1:19" x14ac:dyDescent="0.25">
      <c r="A5" s="5" t="s">
        <v>215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9" x14ac:dyDescent="0.25">
      <c r="A6" s="5"/>
      <c r="B6" s="5"/>
      <c r="C6" s="5"/>
      <c r="D6" s="5"/>
      <c r="E6" s="5"/>
      <c r="F6" s="5"/>
      <c r="G6" s="5"/>
      <c r="H6" s="5"/>
    </row>
    <row r="7" spans="1:19" x14ac:dyDescent="0.25">
      <c r="A7" s="5" t="s">
        <v>216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9" x14ac:dyDescent="0.25"/>
    <row r="9" spans="1:19" x14ac:dyDescent="0.25">
      <c r="A9" s="5" t="s">
        <v>217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9" x14ac:dyDescent="0.25"/>
    <row r="11" ht="12" customHeight="1" spans="1:19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12.6" customHeight="1" spans="1:19" x14ac:dyDescent="0.25">
      <c r="A12" s="7"/>
      <c r="B12" s="8" t="s">
        <v>16</v>
      </c>
      <c r="C12" s="8"/>
      <c r="D12" s="8"/>
      <c r="E12" s="8"/>
      <c r="F12" s="9" t="s">
        <v>16</v>
      </c>
      <c r="G12" s="9"/>
      <c r="H12" s="8"/>
      <c r="I12" s="8"/>
      <c r="J12" s="8"/>
      <c r="K12" s="8"/>
      <c r="L12" s="9"/>
      <c r="M12" s="8"/>
      <c r="N12" s="10"/>
      <c r="O12" s="10"/>
      <c r="P12" s="10"/>
      <c r="Q12" s="10"/>
      <c r="R12" s="10"/>
      <c r="S12" s="10"/>
    </row>
    <row r="13" ht="12" customHeight="1" spans="1:19" x14ac:dyDescent="0.25">
      <c r="A13" s="11"/>
      <c r="B13" s="10"/>
      <c r="C13" s="10" t="s">
        <v>16</v>
      </c>
      <c r="D13" s="10"/>
      <c r="E13" s="10"/>
      <c r="F13" s="12">
        <v>46234</v>
      </c>
      <c r="G13" s="12">
        <v>38717</v>
      </c>
      <c r="H13" s="10"/>
      <c r="I13" s="10"/>
      <c r="J13" s="10"/>
      <c r="K13" s="10"/>
      <c r="L13" s="12">
        <f>+F13</f>
        <v>46234</v>
      </c>
      <c r="M13" s="13">
        <v>38717</v>
      </c>
      <c r="N13" s="10"/>
      <c r="O13" s="10"/>
      <c r="P13" s="10"/>
      <c r="Q13" s="10"/>
      <c r="R13" s="10"/>
      <c r="S13" s="10"/>
    </row>
    <row r="14" ht="12" customHeight="1" spans="1:19" x14ac:dyDescent="0.25">
      <c r="A14" s="11"/>
      <c r="B14" s="14" t="s">
        <v>218</v>
      </c>
      <c r="C14" s="10"/>
      <c r="D14" s="10"/>
      <c r="E14" s="10"/>
      <c r="F14" s="15"/>
      <c r="G14" s="15"/>
      <c r="H14" s="10"/>
      <c r="I14" s="14" t="s">
        <v>47</v>
      </c>
      <c r="J14" s="10"/>
      <c r="K14" s="10"/>
      <c r="L14" s="15"/>
      <c r="M14" s="16"/>
      <c r="N14" s="10"/>
      <c r="O14" s="10"/>
      <c r="P14" s="10"/>
      <c r="Q14" s="10"/>
      <c r="R14" s="10"/>
      <c r="S14" s="10"/>
    </row>
    <row r="15" ht="12" customHeight="1" spans="1:19" x14ac:dyDescent="0.25">
      <c r="A15" s="11"/>
      <c r="B15" s="10"/>
      <c r="C15" s="14" t="s">
        <v>219</v>
      </c>
      <c r="D15" s="10"/>
      <c r="E15" s="10"/>
      <c r="F15" s="17"/>
      <c r="G15" s="17"/>
      <c r="H15" s="10"/>
      <c r="I15" s="14" t="s">
        <v>220</v>
      </c>
      <c r="J15" s="10"/>
      <c r="K15" s="10"/>
      <c r="L15" s="17"/>
      <c r="M15" s="10"/>
      <c r="N15" s="10"/>
      <c r="O15" s="10"/>
      <c r="P15" s="10"/>
      <c r="Q15" s="10"/>
      <c r="R15" s="10"/>
      <c r="S15" s="10"/>
    </row>
    <row r="16" ht="12" customHeight="1" spans="1:19" x14ac:dyDescent="0.25">
      <c r="A16" s="11"/>
      <c r="B16" s="10"/>
      <c r="C16" s="10"/>
      <c r="D16" s="10" t="s">
        <v>221</v>
      </c>
      <c r="E16" s="10"/>
      <c r="F16" s="18">
        <f>+Activo!F17</f>
        <v>17391.229184410575</v>
      </c>
      <c r="G16" s="18"/>
      <c r="H16" s="10"/>
      <c r="I16" s="10"/>
      <c r="J16" s="10"/>
      <c r="K16" s="10" t="s">
        <v>222</v>
      </c>
      <c r="L16" s="18">
        <f>+Pasivo!E10</f>
        <v>1965572.4061373435</v>
      </c>
      <c r="M16" s="10"/>
      <c r="N16" s="19"/>
      <c r="O16" s="10"/>
      <c r="P16" s="10"/>
      <c r="Q16" s="10"/>
      <c r="R16" s="10"/>
      <c r="S16" s="10"/>
    </row>
    <row r="17" ht="12" customHeight="1" spans="1:19" x14ac:dyDescent="0.25">
      <c r="A17" s="11"/>
      <c r="B17" s="10"/>
      <c r="C17" s="10"/>
      <c r="D17" s="10" t="s">
        <v>223</v>
      </c>
      <c r="E17" s="10"/>
      <c r="F17" s="18">
        <f>+Activo!F22</f>
        <v>61778.081096079935</v>
      </c>
      <c r="G17" s="18"/>
      <c r="H17" s="10"/>
      <c r="I17" s="10"/>
      <c r="J17" s="10"/>
      <c r="K17" s="10" t="s">
        <v>224</v>
      </c>
      <c r="L17" s="18">
        <f>+Pasivo!E16</f>
        <v>46146.18483046174</v>
      </c>
      <c r="M17" s="10"/>
      <c r="N17" s="20"/>
      <c r="O17" s="10"/>
      <c r="P17" s="10"/>
      <c r="Q17" s="10"/>
      <c r="R17" s="10"/>
      <c r="S17" s="10"/>
    </row>
    <row r="18" ht="12" customHeight="1" spans="1:19" x14ac:dyDescent="0.25">
      <c r="A18" s="11"/>
      <c r="B18" s="10"/>
      <c r="C18" s="10"/>
      <c r="D18" s="10" t="s">
        <v>225</v>
      </c>
      <c r="E18" s="10"/>
      <c r="F18" s="18">
        <f>+Activo!F27</f>
        <v>3785.3824515469732</v>
      </c>
      <c r="G18" s="18"/>
      <c r="H18" s="10"/>
      <c r="I18" s="10"/>
      <c r="J18" s="10"/>
      <c r="K18" s="10" t="s">
        <v>226</v>
      </c>
      <c r="L18" s="18">
        <f>+Pasivo!E24</f>
        <v>4689.4147093364145</v>
      </c>
      <c r="M18" s="10"/>
      <c r="N18" s="20"/>
      <c r="O18" s="20"/>
      <c r="P18" s="10"/>
      <c r="Q18" s="10"/>
      <c r="R18" s="10"/>
      <c r="S18" s="10"/>
    </row>
    <row r="19" ht="12" customHeight="1" spans="1:19" x14ac:dyDescent="0.25">
      <c r="A19" s="11"/>
      <c r="B19" s="10"/>
      <c r="C19" s="10"/>
      <c r="D19" s="10" t="s">
        <v>227</v>
      </c>
      <c r="E19" s="10"/>
      <c r="F19" s="18">
        <f>+Activo!F49</f>
        <v>161186.7092327229</v>
      </c>
      <c r="G19" s="18"/>
      <c r="H19" s="10"/>
      <c r="I19" s="10"/>
      <c r="J19" s="10"/>
      <c r="K19" s="10"/>
      <c r="L19" s="18"/>
      <c r="M19" s="10"/>
      <c r="N19" s="20"/>
      <c r="O19" s="10"/>
      <c r="P19" s="10"/>
      <c r="Q19" s="10"/>
      <c r="R19" s="10"/>
      <c r="S19" s="10"/>
    </row>
    <row r="20" ht="12" customHeight="1" spans="1:19" x14ac:dyDescent="0.25">
      <c r="A20" s="11"/>
      <c r="B20" s="10"/>
      <c r="C20" s="10"/>
      <c r="D20" s="10"/>
      <c r="E20" s="10"/>
      <c r="F20" s="18"/>
      <c r="G20" s="18"/>
      <c r="H20" s="10"/>
      <c r="I20" s="10"/>
      <c r="J20" s="10"/>
      <c r="K20" s="10"/>
      <c r="L20" s="18"/>
      <c r="M20" s="10"/>
      <c r="N20" s="10"/>
      <c r="O20" s="10"/>
      <c r="P20" s="10"/>
      <c r="Q20" s="10"/>
      <c r="R20" s="10"/>
      <c r="S20" s="10"/>
    </row>
    <row r="21" ht="12" customHeight="1" spans="1:19" x14ac:dyDescent="0.25">
      <c r="A21" s="11"/>
      <c r="B21" s="10"/>
      <c r="C21" s="10"/>
      <c r="D21" s="10"/>
      <c r="E21" s="10"/>
      <c r="F21" s="18"/>
      <c r="G21" s="18"/>
      <c r="H21" s="10"/>
      <c r="I21" s="10"/>
      <c r="J21" s="10"/>
      <c r="K21" s="10"/>
      <c r="L21" s="18"/>
      <c r="M21" s="10"/>
      <c r="N21" s="10"/>
      <c r="O21" s="10"/>
      <c r="P21" s="10"/>
      <c r="Q21" s="10"/>
      <c r="R21" s="10"/>
      <c r="S21" s="10"/>
    </row>
    <row r="22" ht="12" customHeight="1" spans="1:19" x14ac:dyDescent="0.25">
      <c r="A22" s="11"/>
      <c r="B22" s="10"/>
      <c r="C22" s="14" t="s">
        <v>228</v>
      </c>
      <c r="D22" s="10"/>
      <c r="E22" s="10"/>
      <c r="F22" s="21">
        <f>SUM(F16:F19)</f>
        <v>244141.4019647604</v>
      </c>
      <c r="G22" s="18"/>
      <c r="H22" s="10"/>
      <c r="I22" s="14" t="s">
        <v>229</v>
      </c>
      <c r="J22" s="10"/>
      <c r="K22" s="10"/>
      <c r="L22" s="21">
        <f>SUM(L16:L21)</f>
        <v>2016408.0056771415</v>
      </c>
      <c r="M22" s="10"/>
      <c r="N22" s="20"/>
      <c r="O22" s="20"/>
      <c r="P22" s="20"/>
      <c r="Q22" s="20"/>
      <c r="R22" s="10"/>
      <c r="S22" s="10"/>
    </row>
    <row r="23" ht="12" customHeight="1" spans="1:19" x14ac:dyDescent="0.25">
      <c r="A23" s="11"/>
      <c r="B23" s="10"/>
      <c r="C23" s="10"/>
      <c r="D23" s="10"/>
      <c r="E23" s="22"/>
      <c r="F23" s="18"/>
      <c r="G23" s="18"/>
      <c r="H23" s="10"/>
      <c r="I23" s="14" t="s">
        <v>230</v>
      </c>
      <c r="J23" s="10"/>
      <c r="K23" s="10"/>
      <c r="L23" s="23">
        <f>+L22</f>
        <v>2016408.0056771415</v>
      </c>
      <c r="M23" s="10"/>
      <c r="N23" s="20"/>
      <c r="O23" s="10"/>
      <c r="P23" s="10"/>
      <c r="Q23" s="10"/>
      <c r="R23" s="10"/>
      <c r="S23" s="10"/>
    </row>
    <row r="24" spans="1:19" x14ac:dyDescent="0.25">
      <c r="A24" s="11"/>
      <c r="B24" s="10"/>
      <c r="C24" s="10"/>
      <c r="D24" s="10"/>
      <c r="E24" s="10"/>
      <c r="F24" s="18"/>
      <c r="G24" s="18"/>
      <c r="H24" s="10"/>
      <c r="I24" s="10"/>
      <c r="J24" s="10"/>
      <c r="K24" s="10"/>
      <c r="L24" s="18"/>
      <c r="M24" s="10"/>
      <c r="N24" s="10"/>
      <c r="O24" s="10"/>
      <c r="P24" s="10"/>
      <c r="Q24" s="24"/>
      <c r="R24" s="25"/>
      <c r="S24" s="26"/>
    </row>
    <row r="25" ht="12" customHeight="1" spans="1:19" x14ac:dyDescent="0.25">
      <c r="A25" s="11"/>
      <c r="B25" s="10"/>
      <c r="C25" s="10" t="s">
        <v>16</v>
      </c>
      <c r="D25" s="10"/>
      <c r="E25" s="10"/>
      <c r="F25" s="17"/>
      <c r="G25" s="17"/>
      <c r="H25" s="10"/>
      <c r="I25" s="10"/>
      <c r="J25" s="10"/>
      <c r="K25" s="10"/>
      <c r="L25" s="18"/>
      <c r="M25" s="10"/>
      <c r="N25" s="10"/>
      <c r="O25" s="10"/>
      <c r="P25" s="10"/>
      <c r="Q25" s="10"/>
      <c r="R25" s="10"/>
      <c r="S25" s="10"/>
    </row>
    <row r="26" ht="12" customHeight="1" spans="1:19" x14ac:dyDescent="0.25">
      <c r="A26" s="11"/>
      <c r="B26" s="10"/>
      <c r="C26" s="14" t="s">
        <v>231</v>
      </c>
      <c r="D26" s="10"/>
      <c r="E26" s="10"/>
      <c r="F26" s="18"/>
      <c r="G26" s="18"/>
      <c r="H26" s="10"/>
      <c r="I26" s="10"/>
      <c r="J26" s="10"/>
      <c r="K26" s="10"/>
      <c r="L26" s="18"/>
      <c r="M26" s="10"/>
      <c r="N26" s="10"/>
      <c r="O26" s="10"/>
      <c r="P26" s="10"/>
      <c r="Q26" s="10"/>
      <c r="R26" s="10"/>
      <c r="S26" s="10"/>
    </row>
    <row r="27" ht="12" customHeight="1" spans="1:19" x14ac:dyDescent="0.25">
      <c r="A27" s="11"/>
      <c r="B27" s="10"/>
      <c r="C27" s="10"/>
      <c r="D27" s="10" t="s">
        <v>232</v>
      </c>
      <c r="E27" s="10"/>
      <c r="F27" s="18">
        <f>+'Anexo I'!K21</f>
        <v>264268.1013467351</v>
      </c>
      <c r="G27" s="18"/>
      <c r="H27" s="10"/>
      <c r="I27" s="10" t="s">
        <v>233</v>
      </c>
      <c r="J27" s="10"/>
      <c r="K27" s="10"/>
      <c r="L27" s="18">
        <f>+EEPN!J17</f>
        <v>-1507998.502365646</v>
      </c>
      <c r="M27" s="20"/>
      <c r="N27" s="20"/>
      <c r="O27" s="20"/>
      <c r="P27" s="10"/>
      <c r="Q27" s="10"/>
      <c r="R27" s="10"/>
      <c r="S27" s="10"/>
    </row>
    <row r="28" ht="12" customHeight="1" spans="1:19" x14ac:dyDescent="0.25">
      <c r="A28" s="11"/>
      <c r="B28" s="10"/>
      <c r="C28" s="10"/>
      <c r="D28" s="10"/>
      <c r="E28" s="10"/>
      <c r="F28" s="18"/>
      <c r="G28" s="18"/>
      <c r="H28" s="10"/>
      <c r="I28" s="10"/>
      <c r="J28" s="10"/>
      <c r="K28" s="10"/>
      <c r="L28" s="18"/>
      <c r="M28" s="20"/>
      <c r="N28" s="10"/>
      <c r="O28" s="10"/>
      <c r="P28" s="10"/>
      <c r="Q28" s="10"/>
      <c r="R28" s="10"/>
      <c r="S28" s="10"/>
    </row>
    <row r="29" ht="12" customHeight="1" spans="1:19" x14ac:dyDescent="0.25">
      <c r="A29" s="11"/>
      <c r="B29" s="10"/>
      <c r="C29" s="14" t="s">
        <v>234</v>
      </c>
      <c r="D29" s="10"/>
      <c r="E29" s="10"/>
      <c r="F29" s="21">
        <f>SUM(F27:F28)</f>
        <v>264268.1013467351</v>
      </c>
      <c r="G29" s="18"/>
      <c r="H29" s="10"/>
      <c r="I29" s="10"/>
      <c r="J29" s="10"/>
      <c r="K29" s="10" t="s">
        <v>16</v>
      </c>
      <c r="L29" s="21">
        <f>+L27</f>
        <v>-1507998.502365646</v>
      </c>
      <c r="M29" s="10"/>
      <c r="N29" s="10"/>
      <c r="O29" s="19"/>
      <c r="P29" s="26"/>
      <c r="Q29" s="10"/>
      <c r="R29" s="10"/>
      <c r="S29" s="10"/>
    </row>
    <row r="30" ht="12" customHeight="1" spans="1:19" x14ac:dyDescent="0.25">
      <c r="A30" s="11"/>
      <c r="B30" s="10"/>
      <c r="C30" s="10"/>
      <c r="D30" s="10"/>
      <c r="E30" s="10"/>
      <c r="F30" s="18"/>
      <c r="G30" s="18"/>
      <c r="H30" s="10"/>
      <c r="I30" s="10"/>
      <c r="J30" s="10"/>
      <c r="K30" s="10"/>
      <c r="L30" s="18"/>
      <c r="M30" s="10"/>
      <c r="N30" s="10"/>
      <c r="O30" s="10"/>
      <c r="P30" s="10"/>
      <c r="Q30" s="10"/>
      <c r="R30" s="10"/>
      <c r="S30" s="10"/>
    </row>
    <row r="31" ht="12.6" customHeight="1" spans="1:19" x14ac:dyDescent="0.25">
      <c r="A31" s="27"/>
      <c r="B31" s="28"/>
      <c r="C31" s="29" t="s">
        <v>235</v>
      </c>
      <c r="D31" s="28"/>
      <c r="E31" s="28"/>
      <c r="F31" s="30">
        <f>+F22+F29</f>
        <v>508409.5033114955</v>
      </c>
      <c r="G31" s="30"/>
      <c r="H31" s="28"/>
      <c r="I31" s="29" t="s">
        <v>236</v>
      </c>
      <c r="J31" s="28"/>
      <c r="K31" s="28"/>
      <c r="L31" s="30">
        <f>+L23+L29</f>
        <v>508409.50331149553</v>
      </c>
      <c r="M31" s="28"/>
      <c r="N31" s="20"/>
      <c r="O31" s="20"/>
      <c r="P31" s="20"/>
      <c r="Q31" s="10"/>
      <c r="R31" s="20"/>
      <c r="S31" s="20"/>
    </row>
    <row r="32" ht="12.6" customHeight="1" spans="1:19" x14ac:dyDescent="0.25">
      <c r="A32" s="10"/>
      <c r="B32" s="10"/>
      <c r="C32" s="14"/>
      <c r="D32" s="10"/>
      <c r="E32" s="10"/>
      <c r="F32" s="20"/>
      <c r="G32" s="20"/>
      <c r="H32" s="10"/>
      <c r="I32" s="14"/>
      <c r="J32" s="10"/>
      <c r="K32" s="10"/>
      <c r="L32" s="20"/>
      <c r="M32" s="10"/>
      <c r="N32" s="20"/>
      <c r="O32" s="10"/>
      <c r="P32" s="10"/>
      <c r="Q32" s="10"/>
      <c r="R32" s="10"/>
      <c r="S32" s="10"/>
    </row>
    <row r="33" spans="1:19" x14ac:dyDescent="0.25">
      <c r="A33" s="31" t="s">
        <v>237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32"/>
      <c r="M33" s="6"/>
      <c r="N33" s="33"/>
      <c r="O33" s="33"/>
      <c r="P33" s="6"/>
      <c r="Q33" s="6"/>
      <c r="R33" s="6"/>
      <c r="S33" s="6"/>
    </row>
    <row r="34" spans="1:19" x14ac:dyDescent="0.25">
      <c r="A34" s="31" t="s">
        <v>238</v>
      </c>
      <c r="B34" s="6"/>
      <c r="C34" s="6"/>
      <c r="D34" s="6"/>
      <c r="E34" s="6"/>
      <c r="F34" s="34"/>
      <c r="G34" s="6"/>
      <c r="H34" s="6"/>
      <c r="I34" s="6"/>
      <c r="J34" s="6"/>
      <c r="K34" s="6"/>
      <c r="L34" s="32"/>
      <c r="M34" s="6"/>
      <c r="N34" s="33"/>
      <c r="O34" s="33"/>
      <c r="P34" s="6"/>
      <c r="Q34" s="6"/>
      <c r="R34" s="6"/>
      <c r="S34" s="6"/>
    </row>
    <row r="35" spans="1:19" x14ac:dyDescent="0.25">
      <c r="A35" s="6"/>
      <c r="B35" s="6"/>
      <c r="C35" s="6"/>
      <c r="D35" s="6"/>
      <c r="E35" s="6"/>
      <c r="F35" s="34"/>
      <c r="G35" s="6"/>
      <c r="H35" s="6"/>
      <c r="I35" s="6"/>
      <c r="J35" s="6"/>
      <c r="K35" s="34"/>
      <c r="L35" s="32"/>
      <c r="M35" s="6"/>
      <c r="N35" s="35"/>
      <c r="O35" s="6"/>
      <c r="P35" s="6"/>
      <c r="Q35" s="6"/>
      <c r="R35" s="6"/>
      <c r="S35" s="6"/>
    </row>
    <row r="36" spans="1:19" x14ac:dyDescent="0.25">
      <c r="A36" s="6"/>
      <c r="B36" s="6"/>
      <c r="C36" s="6"/>
      <c r="D36" s="6"/>
      <c r="E36" s="6"/>
      <c r="F36" s="34"/>
      <c r="G36" s="6"/>
      <c r="H36" s="6"/>
      <c r="I36" s="6"/>
      <c r="J36" s="6"/>
      <c r="K36" s="36"/>
      <c r="L36" s="34"/>
      <c r="M36" s="6"/>
      <c r="N36" s="6"/>
      <c r="O36" s="6"/>
      <c r="P36" s="6"/>
      <c r="Q36" s="6"/>
      <c r="R36" s="6"/>
      <c r="S36" s="6"/>
    </row>
    <row r="37" spans="1:19" x14ac:dyDescent="0.25">
      <c r="A37" s="6"/>
      <c r="B37" s="6"/>
      <c r="C37" s="6"/>
      <c r="D37" s="6"/>
      <c r="E37" s="6"/>
      <c r="F37" s="34"/>
      <c r="G37" s="6"/>
      <c r="H37" s="6"/>
      <c r="I37" s="6"/>
      <c r="J37" s="6"/>
      <c r="K37" s="34"/>
      <c r="L37" s="34"/>
      <c r="M37" s="6"/>
      <c r="N37" s="33"/>
      <c r="O37" s="6"/>
      <c r="P37" s="6"/>
      <c r="Q37" s="6"/>
      <c r="R37" s="6"/>
      <c r="S37" s="6"/>
    </row>
    <row r="38" spans="1:19" x14ac:dyDescent="0.25">
      <c r="F38" s="34"/>
      <c r="L38" s="34"/>
      <c r="N38" s="34"/>
    </row>
    <row r="39" spans="1:19" x14ac:dyDescent="0.25">
      <c r="E39" s="37" t="s">
        <v>239</v>
      </c>
      <c r="F39" s="31"/>
      <c r="G39" s="31"/>
      <c r="H39" s="31"/>
      <c r="I39" s="31"/>
      <c r="J39" s="31"/>
      <c r="K39" s="37" t="s">
        <v>240</v>
      </c>
      <c r="N39" s="34"/>
    </row>
    <row r="40" spans="1:19" x14ac:dyDescent="0.25">
      <c r="D40" s="31"/>
      <c r="E40" s="37" t="s">
        <v>241</v>
      </c>
      <c r="F40" s="31"/>
      <c r="G40" s="31"/>
      <c r="H40" s="31"/>
      <c r="I40" s="31"/>
      <c r="J40" s="31"/>
      <c r="K40" s="37" t="s">
        <v>242</v>
      </c>
    </row>
    <row r="41" spans="1:19" x14ac:dyDescent="0.25">
      <c r="D41" s="31"/>
      <c r="E41" s="37" t="s">
        <v>243</v>
      </c>
      <c r="F41" s="31"/>
      <c r="G41" s="31"/>
      <c r="H41" s="31"/>
      <c r="I41" s="31"/>
      <c r="J41" s="31"/>
      <c r="K41" s="37" t="s">
        <v>244</v>
      </c>
    </row>
    <row r="42" spans="1:19" x14ac:dyDescent="0.25">
      <c r="D42" s="31"/>
    </row>
  </sheetData>
  <mergeCells count="3">
    <mergeCell ref="A5:L5"/>
    <mergeCell ref="A7:L7"/>
    <mergeCell ref="A9:L9"/>
  </mergeCells>
  <pageMargins left="0.75" right="0.75" top="0.35" bottom="1" header="0" footer="0"/>
  <pageSetup paperSize="9" orientation="landscape" horizontalDpi="1200" verticalDpi="1200" scale="93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 zoomScale="100" zoomScaleNormal="100">
      <selection activeCell="A8" sqref="A8"/>
    </sheetView>
  </sheetViews>
  <sheetFormatPr defaultRowHeight="0" outlineLevelRow="0" outlineLevelCol="0" x14ac:dyDescent="0" customHeight="1"/>
  <cols>
    <col min="1" max="1" width="38.33203125" customWidth="1"/>
    <col min="2" max="2" width="6" customWidth="1"/>
    <col min="3" max="3" width="14.5546875" customWidth="1"/>
    <col min="4" max="4" width="12.109375" hidden="1" customWidth="1"/>
    <col min="5" max="6" width="12.88671875" customWidth="1"/>
    <col min="7" max="7" width="11.6640625" customWidth="1"/>
    <col min="8" max="8" width="11.33203125" customWidth="1"/>
    <col min="9" max="257" width="9.109375" customWidth="1"/>
  </cols>
  <sheetData>
    <row r="1" spans="1:8" x14ac:dyDescent="0.25"/>
    <row r="2" spans="1:8" x14ac:dyDescent="0.25"/>
    <row r="3" spans="1:8" x14ac:dyDescent="0.25"/>
    <row r="4" spans="1:8" x14ac:dyDescent="0.25">
      <c r="A4" s="5" t="s">
        <v>215</v>
      </c>
      <c r="B4" s="5"/>
      <c r="C4" s="5"/>
      <c r="D4" s="5"/>
      <c r="E4" s="38"/>
      <c r="F4" s="38"/>
      <c r="G4" s="38"/>
      <c r="H4" s="38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 t="str">
        <f>+EESP!A7</f>
        <v>Al 31 de Julio 2026</v>
      </c>
      <c r="B6" s="5"/>
      <c r="C6" s="5"/>
      <c r="D6" s="5"/>
      <c r="E6" s="38"/>
      <c r="F6" s="38"/>
      <c r="G6" s="38"/>
      <c r="H6" s="38"/>
    </row>
    <row r="7" spans="1:8" x14ac:dyDescent="0.25"/>
    <row r="8" spans="1:8" x14ac:dyDescent="0.25">
      <c r="A8" s="5" t="s">
        <v>245</v>
      </c>
      <c r="B8" s="5"/>
      <c r="C8" s="5"/>
      <c r="D8" s="5"/>
      <c r="E8" s="38"/>
      <c r="F8" s="38"/>
      <c r="G8" s="38"/>
      <c r="H8" s="38"/>
    </row>
    <row r="9" spans="1:8" x14ac:dyDescent="0.25"/>
    <row r="10" ht="13.8" customHeight="1" spans="1:8" x14ac:dyDescent="0.25"/>
    <row r="11" ht="13.8" customHeight="1" spans="1:8" x14ac:dyDescent="0.25">
      <c r="A11" s="7"/>
      <c r="B11" s="8"/>
      <c r="C11" s="9"/>
      <c r="D11" s="39"/>
    </row>
    <row r="12" spans="1:8" x14ac:dyDescent="0.25">
      <c r="A12" s="11"/>
      <c r="B12" s="10"/>
      <c r="C12" s="12">
        <f>+EESP!F13</f>
        <v>46234</v>
      </c>
      <c r="D12" s="40">
        <f>+EESP!G13</f>
        <v>38717</v>
      </c>
    </row>
    <row r="13" spans="1:8" x14ac:dyDescent="0.25">
      <c r="A13" s="11"/>
      <c r="B13" s="10"/>
      <c r="C13" s="15"/>
      <c r="D13" s="41"/>
    </row>
    <row r="14" spans="1:8" x14ac:dyDescent="0.25">
      <c r="A14" s="11"/>
      <c r="B14" s="10"/>
      <c r="C14" s="17"/>
      <c r="D14" s="42"/>
    </row>
    <row r="15" spans="1:8" x14ac:dyDescent="0.25">
      <c r="A15" s="11" t="s">
        <v>246</v>
      </c>
      <c r="B15" s="10"/>
      <c r="C15" s="43">
        <f>+SALDOS!E116</f>
        <v>115882.33</v>
      </c>
      <c r="D15" s="42"/>
      <c r="E15" s="34"/>
    </row>
    <row r="16" spans="1:8" x14ac:dyDescent="0.25">
      <c r="A16" s="11"/>
      <c r="B16" s="10"/>
      <c r="C16" s="43"/>
      <c r="D16" s="42"/>
    </row>
    <row r="17" spans="1:8" x14ac:dyDescent="0.25">
      <c r="A17" s="11" t="s">
        <v>247</v>
      </c>
      <c r="B17" s="10" t="s">
        <v>16</v>
      </c>
      <c r="C17" s="43">
        <f>+'Anexo II'!E84</f>
        <v>1930642.2100000002</v>
      </c>
      <c r="D17" s="42"/>
      <c r="E17" s="36"/>
      <c r="F17" s="34"/>
      <c r="G17" s="34"/>
      <c r="H17" s="34"/>
    </row>
    <row r="18" spans="1:8" x14ac:dyDescent="0.25">
      <c r="A18" s="11" t="s">
        <v>248</v>
      </c>
      <c r="B18" s="10"/>
      <c r="C18" s="43">
        <f>+'Anexo II'!D84</f>
        <v>244242.16</v>
      </c>
      <c r="D18" s="42"/>
      <c r="E18" s="34"/>
    </row>
    <row r="19" spans="1:8" x14ac:dyDescent="0.25">
      <c r="A19" s="11" t="s">
        <v>249</v>
      </c>
      <c r="B19" s="10"/>
      <c r="C19" s="43">
        <f>+'Anexo II'!F84</f>
        <v>29891.64</v>
      </c>
      <c r="D19" s="34"/>
      <c r="E19" s="34"/>
    </row>
    <row r="20" spans="1:8" x14ac:dyDescent="0.25">
      <c r="A20" s="11"/>
      <c r="B20" s="10"/>
      <c r="C20" s="43"/>
      <c r="D20" s="42"/>
      <c r="F20" s="34"/>
    </row>
    <row r="21" spans="1:8" x14ac:dyDescent="0.25">
      <c r="A21" s="11" t="s">
        <v>250</v>
      </c>
      <c r="B21" s="10"/>
      <c r="C21" s="44">
        <f>+C15-C17-C18-C19</f>
        <v>-2088893.68</v>
      </c>
      <c r="D21" s="34"/>
      <c r="E21" s="34"/>
    </row>
    <row r="22" spans="1:8" x14ac:dyDescent="0.25">
      <c r="A22" s="11" t="s">
        <v>251</v>
      </c>
      <c r="B22" s="10"/>
      <c r="C22" s="43">
        <f>+SALDOS!E118+SALDOS!E123+SALDOS!E189+SALDOS!E119</f>
        <v>21805.53</v>
      </c>
      <c r="D22" s="42"/>
      <c r="E22" s="45"/>
      <c r="G22" s="45"/>
    </row>
    <row r="23" spans="1:8" x14ac:dyDescent="0.25">
      <c r="A23" s="11" t="s">
        <v>252</v>
      </c>
      <c r="B23" s="10"/>
      <c r="C23" s="43">
        <f>+SALDOS!E209</f>
        <v>107528.258099</v>
      </c>
      <c r="D23" s="42"/>
    </row>
    <row r="24" spans="1:8" x14ac:dyDescent="0.25">
      <c r="A24" s="11" t="s">
        <v>253</v>
      </c>
      <c r="B24" s="10"/>
      <c r="C24" s="46">
        <f>+SALDOS!E117</f>
        <v>0</v>
      </c>
      <c r="D24" s="42"/>
    </row>
    <row r="25" hidden="1" spans="1:8" x14ac:dyDescent="0.25">
      <c r="A25" s="11" t="s">
        <v>254</v>
      </c>
      <c r="B25" s="10"/>
      <c r="C25" s="46">
        <f>+SALDOS!E121</f>
        <v>0</v>
      </c>
      <c r="D25" s="42"/>
    </row>
    <row r="26" spans="1:8" x14ac:dyDescent="0.25">
      <c r="A26" s="11" t="s">
        <v>255</v>
      </c>
      <c r="B26" s="10"/>
      <c r="C26" s="44">
        <f>+C21+C22+C23+C25+C24</f>
        <v>-1959559.891901</v>
      </c>
      <c r="D26" s="42"/>
      <c r="E26" s="34"/>
    </row>
    <row r="27" spans="1:8" x14ac:dyDescent="0.25">
      <c r="A27" s="11" t="s">
        <v>256</v>
      </c>
      <c r="B27" s="10"/>
      <c r="C27" s="43"/>
      <c r="D27" s="42"/>
    </row>
    <row r="28" spans="1:8" x14ac:dyDescent="0.25">
      <c r="A28" s="11"/>
      <c r="B28" s="10"/>
      <c r="C28" s="43"/>
      <c r="D28" s="42"/>
    </row>
    <row r="29" spans="1:8" x14ac:dyDescent="0.25">
      <c r="A29" s="11" t="s">
        <v>257</v>
      </c>
      <c r="B29" s="10"/>
      <c r="C29" s="44">
        <f>+C26-C27</f>
        <v>-1959559.891901</v>
      </c>
      <c r="D29" s="42"/>
      <c r="E29" s="47"/>
      <c r="F29" s="34"/>
      <c r="G29" s="34"/>
      <c r="H29" s="45"/>
    </row>
    <row r="30" spans="1:8" x14ac:dyDescent="0.25">
      <c r="A30" s="11"/>
      <c r="B30" s="10"/>
      <c r="C30" s="43"/>
      <c r="D30" s="42"/>
      <c r="E30" s="42"/>
    </row>
    <row r="31" ht="13.8" customHeight="1" spans="1:8" x14ac:dyDescent="0.25">
      <c r="A31" s="27"/>
      <c r="B31" s="28"/>
      <c r="C31" s="48"/>
      <c r="D31" s="49"/>
      <c r="E31" s="34"/>
    </row>
    <row r="32" ht="13.8" customHeight="1" spans="1:8" x14ac:dyDescent="0.25"/>
    <row r="33" spans="1:8" x14ac:dyDescent="0.25">
      <c r="A33" s="31" t="s">
        <v>237</v>
      </c>
    </row>
    <row r="34" spans="1:8" x14ac:dyDescent="0.25">
      <c r="A34" s="31" t="s">
        <v>238</v>
      </c>
      <c r="C34" s="34"/>
    </row>
    <row r="35" spans="1:8" x14ac:dyDescent="0.25">
      <c r="A35" s="31"/>
      <c r="C35" s="34"/>
    </row>
    <row r="36" spans="1:8" x14ac:dyDescent="0.25">
      <c r="A36" s="31"/>
    </row>
    <row r="37" spans="1:8" x14ac:dyDescent="0.25">
      <c r="A37" s="31"/>
      <c r="F37" s="34"/>
    </row>
    <row r="38" spans="1:8" x14ac:dyDescent="0.25"/>
    <row r="39" spans="1:8" x14ac:dyDescent="0.25">
      <c r="A39" s="37" t="str">
        <f>+EESP!E39</f>
        <v>Miguel Ángel Alonso</v>
      </c>
      <c r="B39" s="37"/>
      <c r="C39" s="37" t="str">
        <f>+EESP!K39</f>
        <v>Tomas Furlong</v>
      </c>
    </row>
    <row r="40" spans="1:8" x14ac:dyDescent="0.25">
      <c r="A40" s="37" t="str">
        <f>+EESP!E40</f>
        <v>Contador Público (UCA)</v>
      </c>
      <c r="B40" s="37"/>
      <c r="C40" s="37" t="str">
        <f>+EESP!K40</f>
        <v>Transportes Furlong S.A.</v>
      </c>
    </row>
    <row r="41" spans="1:8" x14ac:dyDescent="0.25">
      <c r="A41" s="37" t="str">
        <f>+EESP!E41</f>
        <v>C.P.C.E.C.A.B.A. Tº176 Fº3</v>
      </c>
      <c r="B41" s="37"/>
      <c r="C41" s="37" t="s">
        <v>244</v>
      </c>
    </row>
  </sheetData>
  <mergeCells count="3">
    <mergeCell ref="A4:D4"/>
    <mergeCell ref="A6:D6"/>
    <mergeCell ref="A8:D8"/>
  </mergeCells>
  <pageMargins left="0.75" right="0.75" top="1" bottom="1" header="0" footer="0"/>
  <pageSetup paperSize="9" orientation="portrait" horizontalDpi="1200" verticalDpi="12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zoomScale="100" zoomScaleNormal="100">
      <selection activeCell="A3" sqref="A3"/>
    </sheetView>
  </sheetViews>
  <sheetFormatPr defaultRowHeight="0" outlineLevelRow="0" outlineLevelCol="0" x14ac:dyDescent="0" customHeight="1"/>
  <cols>
    <col min="1" max="1" width="0.44140625" customWidth="1"/>
    <col min="2" max="2" width="31" customWidth="1"/>
    <col min="3" max="3" width="11.109375" customWidth="1"/>
    <col min="4" max="4" width="12.5546875" customWidth="1"/>
    <col min="5" max="5" width="9.109375" customWidth="1"/>
    <col min="6" max="6" width="13.44140625" customWidth="1"/>
    <col min="7" max="7" width="14.109375" customWidth="1"/>
    <col min="8" max="8" width="13.6640625" customWidth="1"/>
    <col min="9" max="9" width="17.33203125" customWidth="1"/>
    <col min="10" max="10" width="16.109375" customWidth="1"/>
    <col min="11" max="11" width="14.6640625" hidden="1" customWidth="1"/>
    <col min="12" max="12" width="13.6640625" customWidth="1"/>
    <col min="13" max="257" width="9.109375" customWidth="1"/>
  </cols>
  <sheetData>
    <row r="1" ht="15.6" customHeight="1" spans="1:12" x14ac:dyDescent="0.25">
      <c r="A1" s="50" t="str">
        <f>+EESP!A5</f>
        <v>TRANSPORTES FURLONG S.A</v>
      </c>
      <c r="B1" s="50"/>
      <c r="C1" s="50"/>
      <c r="D1" s="50"/>
      <c r="E1" s="50"/>
      <c r="F1" s="50"/>
      <c r="G1" s="50"/>
      <c r="H1" s="50"/>
      <c r="I1" s="50"/>
      <c r="J1" s="50"/>
      <c r="K1" s="31"/>
      <c r="L1" s="31"/>
    </row>
    <row r="2" spans="1:12" x14ac:dyDescent="0.25">
      <c r="A2" s="51" t="str">
        <f>+EESP!A7</f>
        <v>Al 31 de Julio 2026</v>
      </c>
      <c r="B2" s="5" t="str">
        <f>+EESP!A7</f>
        <v>Al 31 de Julio 2026</v>
      </c>
      <c r="C2" s="5"/>
      <c r="D2" s="5"/>
      <c r="E2" s="5"/>
      <c r="F2" s="5"/>
      <c r="G2" s="5"/>
      <c r="H2" s="5"/>
      <c r="I2" s="5"/>
      <c r="J2" s="5"/>
      <c r="K2" s="31"/>
      <c r="L2" s="31"/>
    </row>
    <row r="3" spans="1:12" x14ac:dyDescent="0.25">
      <c r="A3" s="5" t="s">
        <v>258</v>
      </c>
      <c r="B3" s="5"/>
      <c r="C3" s="5"/>
      <c r="D3" s="5"/>
      <c r="E3" s="5"/>
      <c r="F3" s="5"/>
      <c r="G3" s="5"/>
      <c r="H3" s="5"/>
      <c r="I3" s="5"/>
      <c r="J3" s="5"/>
      <c r="K3" s="31"/>
      <c r="L3" s="31"/>
    </row>
    <row r="4" ht="13.8" customHeight="1" spans="1:12" x14ac:dyDescent="0.25">
      <c r="A4" s="31" t="s">
        <v>16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ht="13.8" customHeight="1" spans="1:12" x14ac:dyDescent="0.25">
      <c r="A5" s="37"/>
      <c r="B5" s="52"/>
      <c r="C5" s="53" t="s">
        <v>259</v>
      </c>
      <c r="D5" s="54"/>
      <c r="E5" s="54"/>
      <c r="F5" s="53"/>
      <c r="G5" s="54"/>
      <c r="H5" s="55"/>
      <c r="I5" s="55"/>
      <c r="J5" s="56">
        <f>+EESP!F13</f>
        <v>46234</v>
      </c>
      <c r="K5" s="57">
        <f>+EESP!G13</f>
        <v>38717</v>
      </c>
      <c r="L5" s="31"/>
    </row>
    <row r="6" spans="1:12" x14ac:dyDescent="0.25">
      <c r="A6" s="37"/>
      <c r="B6" s="58" t="s">
        <v>260</v>
      </c>
      <c r="C6" s="59" t="s">
        <v>261</v>
      </c>
      <c r="D6" s="37"/>
      <c r="E6" s="60"/>
      <c r="F6" s="61" t="s">
        <v>262</v>
      </c>
      <c r="G6" s="62" t="s">
        <v>263</v>
      </c>
      <c r="H6" s="60"/>
      <c r="I6" s="63" t="s">
        <v>264</v>
      </c>
      <c r="J6" s="63" t="s">
        <v>265</v>
      </c>
      <c r="K6" s="37" t="s">
        <v>265</v>
      </c>
      <c r="L6" s="31"/>
    </row>
    <row r="7" spans="1:12" x14ac:dyDescent="0.25">
      <c r="A7" s="37"/>
      <c r="B7" s="58"/>
      <c r="C7" s="64" t="s">
        <v>266</v>
      </c>
      <c r="D7" s="64" t="s">
        <v>267</v>
      </c>
      <c r="E7" s="64" t="s">
        <v>268</v>
      </c>
      <c r="F7" s="59" t="s">
        <v>269</v>
      </c>
      <c r="G7" s="64" t="s">
        <v>270</v>
      </c>
      <c r="H7" s="63" t="s">
        <v>271</v>
      </c>
      <c r="I7" s="63" t="s">
        <v>272</v>
      </c>
      <c r="J7" s="63" t="s">
        <v>273</v>
      </c>
      <c r="K7" s="37" t="s">
        <v>273</v>
      </c>
      <c r="L7" s="31"/>
    </row>
    <row r="8" spans="1:12" x14ac:dyDescent="0.25">
      <c r="A8" s="37"/>
      <c r="B8" s="58"/>
      <c r="C8" s="63"/>
      <c r="D8" s="63" t="s">
        <v>274</v>
      </c>
      <c r="E8" s="63" t="s">
        <v>266</v>
      </c>
      <c r="F8" s="59" t="s">
        <v>275</v>
      </c>
      <c r="G8" s="63" t="s">
        <v>276</v>
      </c>
      <c r="H8" s="63" t="s">
        <v>277</v>
      </c>
      <c r="I8" s="63" t="s">
        <v>278</v>
      </c>
      <c r="J8" s="63" t="s">
        <v>279</v>
      </c>
      <c r="K8" s="37" t="s">
        <v>279</v>
      </c>
      <c r="L8" s="31"/>
    </row>
    <row r="9" spans="1:12" x14ac:dyDescent="0.25">
      <c r="A9" s="65"/>
      <c r="B9" s="66"/>
      <c r="C9" s="67" t="s">
        <v>280</v>
      </c>
      <c r="D9" s="67" t="s">
        <v>280</v>
      </c>
      <c r="E9" s="67" t="s">
        <v>280</v>
      </c>
      <c r="F9" s="61" t="s">
        <v>280</v>
      </c>
      <c r="G9" s="67" t="s">
        <v>280</v>
      </c>
      <c r="H9" s="67"/>
      <c r="I9" s="67" t="s">
        <v>280</v>
      </c>
      <c r="J9" s="67" t="s">
        <v>280</v>
      </c>
      <c r="K9" s="65" t="s">
        <v>280</v>
      </c>
      <c r="L9" s="31"/>
    </row>
    <row r="10" spans="1:12" x14ac:dyDescent="0.25">
      <c r="A10" s="31"/>
      <c r="B10" s="68"/>
      <c r="C10" s="69"/>
      <c r="D10" s="69"/>
      <c r="E10" s="69"/>
      <c r="F10" s="69"/>
      <c r="G10" s="69"/>
      <c r="H10" s="70"/>
      <c r="I10" s="70"/>
      <c r="J10" s="70"/>
      <c r="K10" s="31"/>
      <c r="L10" s="31"/>
    </row>
    <row r="11" spans="1:12" x14ac:dyDescent="0.25">
      <c r="A11" s="31" t="s">
        <v>281</v>
      </c>
      <c r="B11" s="68" t="s">
        <v>282</v>
      </c>
      <c r="C11" s="71">
        <v>0</v>
      </c>
      <c r="D11" s="71">
        <v>0</v>
      </c>
      <c r="E11" s="71">
        <f>+C11+D11</f>
        <v>0</v>
      </c>
      <c r="F11" s="71">
        <v>0</v>
      </c>
      <c r="G11" s="71">
        <v>0</v>
      </c>
      <c r="H11" s="71">
        <v>0</v>
      </c>
      <c r="I11" s="71">
        <f>+SALDOS!E111-SALDOS!D112</f>
        <v>451561.389535354</v>
      </c>
      <c r="J11" s="71">
        <f>+I11</f>
        <v>451561.389535354</v>
      </c>
      <c r="K11" s="72"/>
      <c r="L11" s="72"/>
    </row>
    <row r="12" spans="1:12" x14ac:dyDescent="0.25">
      <c r="A12" s="31"/>
      <c r="B12" s="68"/>
      <c r="C12" s="71"/>
      <c r="D12" s="71"/>
      <c r="E12" s="71"/>
      <c r="F12" s="71"/>
      <c r="G12" s="71"/>
      <c r="H12" s="71"/>
      <c r="I12" s="71"/>
      <c r="J12" s="71"/>
      <c r="K12" s="72"/>
      <c r="L12" s="72"/>
    </row>
    <row r="13" spans="1:12" x14ac:dyDescent="0.25">
      <c r="A13" s="31"/>
      <c r="B13" s="68" t="s">
        <v>257</v>
      </c>
      <c r="C13" s="71" t="s">
        <v>16</v>
      </c>
      <c r="D13" s="71"/>
      <c r="E13" s="71"/>
      <c r="F13" s="71"/>
      <c r="G13" s="71"/>
      <c r="H13" s="71"/>
      <c r="I13" s="71">
        <f>+EERR!C29</f>
        <v>-1959559.891901</v>
      </c>
      <c r="J13" s="71">
        <f>+I13</f>
        <v>-1959559.891901</v>
      </c>
      <c r="K13" s="72"/>
      <c r="L13" s="31"/>
    </row>
    <row r="14" hidden="1" spans="1:12" x14ac:dyDescent="0.25">
      <c r="A14" s="31"/>
      <c r="B14" s="68" t="s">
        <v>283</v>
      </c>
      <c r="C14" s="71"/>
      <c r="D14" s="71"/>
      <c r="E14" s="71"/>
      <c r="F14" s="71"/>
      <c r="G14" s="71"/>
      <c r="H14" s="71"/>
      <c r="I14" s="71"/>
      <c r="J14" s="71">
        <f>+I14</f>
        <v>0</v>
      </c>
      <c r="K14" s="72"/>
      <c r="L14" s="73"/>
    </row>
    <row r="15" spans="1:12" x14ac:dyDescent="0.25">
      <c r="A15" s="31"/>
      <c r="B15" s="68"/>
      <c r="C15" s="71"/>
      <c r="D15" s="71"/>
      <c r="E15" s="71"/>
      <c r="F15" s="71"/>
      <c r="G15" s="71"/>
      <c r="H15" s="71"/>
      <c r="I15" s="71"/>
      <c r="J15" s="71"/>
      <c r="K15" s="72"/>
      <c r="L15" s="31"/>
    </row>
    <row r="16" spans="1:12" x14ac:dyDescent="0.25">
      <c r="A16" s="31"/>
      <c r="B16" s="68"/>
      <c r="C16" s="71"/>
      <c r="D16" s="71"/>
      <c r="E16" s="71"/>
      <c r="F16" s="71"/>
      <c r="G16" s="71"/>
      <c r="H16" s="71"/>
      <c r="I16" s="71"/>
      <c r="J16" s="71"/>
      <c r="K16" s="72"/>
      <c r="L16" s="31"/>
    </row>
    <row r="17" spans="1:12" x14ac:dyDescent="0.25">
      <c r="A17" s="31"/>
      <c r="B17" s="74" t="s">
        <v>284</v>
      </c>
      <c r="C17" s="75">
        <f>SUM(C11:C16)</f>
        <v>0</v>
      </c>
      <c r="D17" s="75">
        <f>SUM(D11:D16)</f>
        <v>0</v>
      </c>
      <c r="E17" s="75">
        <f>SUM(E11:E16)</f>
        <v>0</v>
      </c>
      <c r="F17" s="75">
        <f>SUM(F11:F16)</f>
        <v>0</v>
      </c>
      <c r="G17" s="75">
        <f>SUM(G11:G16)</f>
        <v>0</v>
      </c>
      <c r="H17" s="75">
        <f>SUM(H11:H16)</f>
        <v>0</v>
      </c>
      <c r="I17" s="75">
        <f>SUM(I11:I16)</f>
        <v>-1507998.502365646</v>
      </c>
      <c r="J17" s="75">
        <f>SUM(J11:J16)</f>
        <v>-1507998.502365646</v>
      </c>
      <c r="K17" s="76" t="e">
        <f>+#REF!+K13</f>
        <v>#REF!</v>
      </c>
      <c r="L17" s="31"/>
    </row>
    <row r="18" ht="13.8" customHeight="1" hidden="1" spans="1:12" x14ac:dyDescent="0.25">
      <c r="A18" s="77"/>
      <c r="B18" s="68" t="s">
        <v>285</v>
      </c>
      <c r="C18" s="78"/>
      <c r="D18" s="78"/>
      <c r="E18" s="78">
        <f>+C18+D18</f>
        <v>0</v>
      </c>
      <c r="F18" s="79"/>
      <c r="G18" s="79">
        <v>0</v>
      </c>
      <c r="H18" s="79"/>
      <c r="I18" s="78">
        <v>0</v>
      </c>
      <c r="J18" s="78">
        <f>+E18</f>
        <v>0</v>
      </c>
      <c r="K18" s="80">
        <f>+G18</f>
        <v>0</v>
      </c>
      <c r="L18" s="31"/>
    </row>
    <row r="19" spans="1:12" x14ac:dyDescent="0.25">
      <c r="A19" s="31"/>
      <c r="B19" s="31"/>
      <c r="C19" s="73"/>
      <c r="D19" s="73"/>
      <c r="E19" s="73"/>
      <c r="F19" s="73"/>
      <c r="G19" s="73"/>
      <c r="H19" s="73"/>
      <c r="I19" s="72"/>
      <c r="J19" s="31"/>
      <c r="K19" s="31"/>
      <c r="L19" s="31"/>
    </row>
    <row r="20" spans="1:12" x14ac:dyDescent="0.25">
      <c r="A20" s="31"/>
      <c r="B20" s="31" t="s">
        <v>237</v>
      </c>
      <c r="C20" s="31"/>
      <c r="D20" s="31"/>
      <c r="E20" s="31"/>
      <c r="F20" s="31"/>
      <c r="G20" s="31"/>
      <c r="H20" s="72"/>
      <c r="I20" s="81"/>
      <c r="J20" s="31"/>
      <c r="K20" s="73"/>
      <c r="L20" s="31"/>
    </row>
    <row r="21" spans="1:12" x14ac:dyDescent="0.25">
      <c r="A21" s="31"/>
      <c r="B21" s="31" t="s">
        <v>238</v>
      </c>
      <c r="C21" s="31"/>
      <c r="D21" s="31"/>
      <c r="E21" s="82"/>
      <c r="F21" s="31"/>
      <c r="G21" s="31"/>
      <c r="H21" s="31"/>
      <c r="I21" s="81"/>
      <c r="J21" s="72"/>
      <c r="K21" s="31"/>
      <c r="L21" s="31"/>
    </row>
    <row r="22" spans="1:12" x14ac:dyDescent="0.25">
      <c r="A22" s="31"/>
      <c r="B22" s="31"/>
      <c r="C22" s="31"/>
      <c r="D22" s="31"/>
      <c r="E22" s="31"/>
      <c r="F22" s="31"/>
      <c r="G22" s="31"/>
      <c r="H22" s="31"/>
      <c r="I22" s="73"/>
      <c r="J22" s="31"/>
      <c r="K22" s="31"/>
      <c r="L22" s="31"/>
    </row>
    <row r="23" spans="1:12" x14ac:dyDescent="0.25">
      <c r="A23" s="31"/>
      <c r="B23" s="31"/>
      <c r="C23" s="31"/>
      <c r="D23" s="31"/>
      <c r="E23" s="31"/>
      <c r="F23" s="31"/>
      <c r="G23" s="31"/>
      <c r="H23" s="31"/>
      <c r="I23" s="72"/>
      <c r="J23" s="72"/>
      <c r="K23" s="31"/>
      <c r="L23" s="31"/>
    </row>
    <row r="24" spans="1:12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x14ac:dyDescent="0.25">
      <c r="A25" s="31"/>
      <c r="B25" s="31"/>
      <c r="C25" s="37" t="str">
        <f>+EESP!E39</f>
        <v>Miguel Ángel Alonso</v>
      </c>
      <c r="D25" s="37"/>
      <c r="E25" s="37"/>
      <c r="F25" s="37"/>
      <c r="G25" s="37"/>
      <c r="H25" s="37" t="str">
        <f>+EERR!C39</f>
        <v>Tomas Furlong</v>
      </c>
      <c r="I25" s="31"/>
      <c r="J25" s="83"/>
      <c r="K25" s="31"/>
      <c r="L25" s="31"/>
    </row>
    <row r="26" spans="1:12" x14ac:dyDescent="0.25">
      <c r="A26" s="31"/>
      <c r="B26" s="31"/>
      <c r="C26" s="37" t="str">
        <f>+EESP!E40</f>
        <v>Contador Público (UCA)</v>
      </c>
      <c r="D26" s="37"/>
      <c r="E26" s="37"/>
      <c r="F26" s="37"/>
      <c r="G26" s="37"/>
      <c r="H26" s="37" t="str">
        <f>+EERR!C40</f>
        <v>Transportes Furlong S.A.</v>
      </c>
      <c r="I26" s="31"/>
      <c r="J26" s="31"/>
      <c r="K26" s="31"/>
      <c r="L26" s="31"/>
    </row>
    <row r="27" spans="1:12" x14ac:dyDescent="0.25">
      <c r="A27" s="31"/>
      <c r="B27" s="31"/>
      <c r="C27" s="37" t="str">
        <f>+EESP!E41</f>
        <v>C.P.C.E.C.A.B.A. Tº176 Fº3</v>
      </c>
      <c r="D27" s="37"/>
      <c r="E27" s="37"/>
      <c r="F27" s="37"/>
      <c r="G27" s="37"/>
      <c r="H27" s="37" t="str">
        <f>+EERR!C41</f>
        <v>Apoderado</v>
      </c>
      <c r="I27" s="31"/>
      <c r="J27" s="31"/>
      <c r="K27" s="31"/>
      <c r="L27" s="31"/>
    </row>
    <row r="28" spans="1:12" x14ac:dyDescent="0.25">
      <c r="A28" s="31"/>
      <c r="B28" s="31"/>
      <c r="C28" s="37"/>
      <c r="D28" s="37"/>
      <c r="E28" s="31"/>
      <c r="F28" s="31"/>
      <c r="G28" s="31"/>
      <c r="H28" s="31"/>
      <c r="I28" s="37"/>
      <c r="J28" s="31"/>
      <c r="K28" s="31"/>
      <c r="L28" s="31"/>
    </row>
    <row r="29" spans="1:12" x14ac:dyDescent="0.25">
      <c r="A29" s="31"/>
      <c r="B29" s="31"/>
      <c r="C29" s="37"/>
      <c r="D29" s="37"/>
      <c r="E29" s="31"/>
      <c r="F29" s="31"/>
      <c r="G29" s="31"/>
      <c r="H29" s="31"/>
      <c r="I29" s="37"/>
      <c r="J29" s="31"/>
      <c r="K29" s="31"/>
      <c r="L29" s="31"/>
    </row>
    <row r="30" spans="1:12" x14ac:dyDescent="0.25">
      <c r="A30" s="31"/>
      <c r="B30" s="31"/>
      <c r="C30" s="37"/>
      <c r="D30" s="37"/>
      <c r="E30" s="31"/>
      <c r="F30" s="31"/>
      <c r="G30" s="31"/>
      <c r="H30" s="31"/>
      <c r="I30" s="37"/>
      <c r="J30" s="31"/>
      <c r="K30" s="31"/>
      <c r="L30" s="31"/>
    </row>
  </sheetData>
  <mergeCells count="3">
    <mergeCell ref="A1:J1"/>
    <mergeCell ref="B2:J2"/>
    <mergeCell ref="A3:J3"/>
  </mergeCells>
  <pageMargins left="0.75" right="0.75" top="1" bottom="1" header="0" footer="0"/>
  <pageSetup paperSize="9" orientation="landscape" horizontalDpi="4294967295" verticalDpi="4294967295" scale="94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 zoomScale="100" zoomScaleNormal="100">
      <selection activeCell="B3" sqref="B3"/>
    </sheetView>
  </sheetViews>
  <sheetFormatPr defaultRowHeight="0" outlineLevelRow="0" outlineLevelCol="0" x14ac:dyDescent="0" customHeight="1"/>
  <cols>
    <col min="1" max="1" width="11.33203125" customWidth="1"/>
    <col min="2" max="2" width="3.33203125" customWidth="1"/>
    <col min="3" max="3" width="2.5546875" customWidth="1"/>
    <col min="4" max="4" width="11.33203125" customWidth="1"/>
    <col min="5" max="5" width="22.109375" customWidth="1"/>
    <col min="6" max="6" width="13.6640625" customWidth="1"/>
    <col min="7" max="7" width="0.6640625" customWidth="1"/>
    <col min="8" max="8" width="12.5546875" hidden="1" customWidth="1"/>
    <col min="9" max="9" width="14.88671875" customWidth="1"/>
    <col min="10" max="10" width="11.33203125" customWidth="1"/>
    <col min="11" max="11" width="13" customWidth="1"/>
    <col min="12" max="257" width="11.33203125" customWidth="1"/>
  </cols>
  <sheetData>
    <row r="1" spans="1:11" x14ac:dyDescent="0.25">
      <c r="A1" s="31"/>
      <c r="B1" s="84" t="s">
        <v>286</v>
      </c>
      <c r="C1" s="84"/>
      <c r="D1" s="85"/>
      <c r="E1" s="84" t="s">
        <v>287</v>
      </c>
      <c r="F1" s="85"/>
      <c r="G1" s="85"/>
      <c r="H1" s="85"/>
      <c r="I1" s="31"/>
      <c r="J1" s="31"/>
      <c r="K1" s="31"/>
    </row>
    <row r="2" spans="1:11" x14ac:dyDescent="0.25">
      <c r="A2" s="31"/>
      <c r="B2" s="85"/>
      <c r="C2" s="85"/>
      <c r="D2" s="85"/>
      <c r="E2" s="85"/>
      <c r="F2" s="85"/>
      <c r="G2" s="85"/>
      <c r="H2" s="85"/>
      <c r="I2" s="31"/>
      <c r="J2" s="31"/>
      <c r="K2" s="31"/>
    </row>
    <row r="3" spans="1:11" x14ac:dyDescent="0.25">
      <c r="A3" s="31"/>
      <c r="B3" s="85" t="str">
        <f>+EESP!A7</f>
        <v>Al 31 de Julio 2026</v>
      </c>
      <c r="C3" s="85"/>
      <c r="D3" s="85"/>
      <c r="E3" s="85"/>
      <c r="F3" s="85"/>
      <c r="G3" s="85"/>
      <c r="H3" s="85"/>
      <c r="I3" s="31"/>
      <c r="J3" s="31"/>
      <c r="K3" s="31"/>
    </row>
    <row r="4" spans="1:11" x14ac:dyDescent="0.25">
      <c r="A4" s="31"/>
      <c r="B4" s="85"/>
      <c r="C4" s="85"/>
      <c r="D4" s="85"/>
      <c r="E4" s="85"/>
      <c r="F4" s="85"/>
      <c r="G4" s="85"/>
      <c r="H4" s="85"/>
      <c r="I4" s="31"/>
      <c r="J4" s="31"/>
      <c r="K4" s="31"/>
    </row>
    <row r="5" spans="1:11" x14ac:dyDescent="0.25">
      <c r="A5" s="31"/>
      <c r="B5" s="85"/>
      <c r="C5" s="85"/>
      <c r="D5" s="85"/>
      <c r="E5" s="85"/>
      <c r="F5" s="86">
        <f>+EESP!F13</f>
        <v>46234</v>
      </c>
      <c r="G5" s="87"/>
      <c r="H5" s="86">
        <v>38717</v>
      </c>
      <c r="I5" s="31"/>
      <c r="J5" s="31"/>
      <c r="K5" s="31"/>
    </row>
    <row r="6" spans="1:11" x14ac:dyDescent="0.25">
      <c r="A6" s="31"/>
      <c r="B6" s="84" t="s">
        <v>6</v>
      </c>
      <c r="C6" s="85"/>
      <c r="D6" s="85"/>
      <c r="E6" s="85"/>
      <c r="F6" s="85"/>
      <c r="G6" s="85"/>
      <c r="H6" s="85"/>
      <c r="I6" s="31"/>
      <c r="J6" s="31"/>
      <c r="K6" s="31"/>
    </row>
    <row r="7" spans="1:11" x14ac:dyDescent="0.25">
      <c r="A7" s="31"/>
      <c r="B7" s="84" t="s">
        <v>288</v>
      </c>
      <c r="C7" s="85"/>
      <c r="D7" s="85"/>
      <c r="E7" s="85"/>
      <c r="F7" s="85"/>
      <c r="G7" s="85"/>
      <c r="H7" s="85"/>
      <c r="I7" s="31"/>
      <c r="J7" s="31"/>
      <c r="K7" s="31"/>
    </row>
    <row r="8" spans="1:11" x14ac:dyDescent="0.25">
      <c r="A8" s="31"/>
      <c r="B8" s="85" t="s">
        <v>289</v>
      </c>
      <c r="C8" s="88" t="s">
        <v>290</v>
      </c>
      <c r="D8" s="85"/>
      <c r="E8" s="85"/>
      <c r="F8" s="85"/>
      <c r="G8" s="85"/>
      <c r="H8" s="85"/>
      <c r="I8" s="31"/>
      <c r="J8" s="31"/>
      <c r="K8" s="31"/>
    </row>
    <row r="9" spans="1:11" x14ac:dyDescent="0.25">
      <c r="A9" s="31"/>
      <c r="B9" s="85"/>
      <c r="C9" s="88"/>
      <c r="D9" s="85" t="s">
        <v>291</v>
      </c>
      <c r="E9" s="85"/>
      <c r="F9" s="89"/>
      <c r="G9" s="85"/>
      <c r="H9" s="85"/>
      <c r="I9" s="31"/>
      <c r="J9" s="31"/>
      <c r="K9" s="31"/>
    </row>
    <row r="10" spans="1:11" x14ac:dyDescent="0.25">
      <c r="A10" s="31"/>
      <c r="B10" s="85"/>
      <c r="C10" s="85"/>
      <c r="D10" s="85" t="s">
        <v>292</v>
      </c>
      <c r="E10" s="85"/>
      <c r="F10" s="89">
        <f>+SALDOS!D7</f>
        <v>16641.693598753238</v>
      </c>
      <c r="G10" s="89"/>
      <c r="H10" s="85"/>
      <c r="I10" s="31"/>
      <c r="J10" s="31"/>
      <c r="K10" s="31"/>
    </row>
    <row r="11" hidden="1" spans="1:11" x14ac:dyDescent="0.25">
      <c r="A11" s="31"/>
      <c r="B11" s="85"/>
      <c r="C11" s="85"/>
      <c r="D11" s="85" t="s">
        <v>293</v>
      </c>
      <c r="E11" s="85"/>
      <c r="F11" s="89">
        <f>+SALDOS!D8</f>
        <v>0</v>
      </c>
      <c r="G11" s="89"/>
      <c r="H11" s="85"/>
      <c r="I11" s="31"/>
      <c r="J11" s="31"/>
      <c r="K11" s="31"/>
    </row>
    <row r="12" hidden="1" spans="1:11" x14ac:dyDescent="0.25">
      <c r="A12" s="31"/>
      <c r="B12" s="85"/>
      <c r="C12" s="85"/>
      <c r="D12" s="85" t="s">
        <v>294</v>
      </c>
      <c r="E12" s="85"/>
      <c r="F12" s="89">
        <f>+SALDOS!D10</f>
        <v>0</v>
      </c>
      <c r="G12" s="89"/>
      <c r="H12" s="85"/>
      <c r="I12" s="31"/>
      <c r="J12" s="31"/>
      <c r="K12" s="31"/>
    </row>
    <row r="13" spans="1:11" x14ac:dyDescent="0.25">
      <c r="A13" s="31"/>
      <c r="B13" s="85"/>
      <c r="C13" s="85"/>
      <c r="D13" s="85" t="s">
        <v>295</v>
      </c>
      <c r="E13" s="85"/>
      <c r="F13" s="89">
        <f>+SALDOS!D9-SALDOS!E9</f>
        <v>749.5355856573378</v>
      </c>
      <c r="G13" s="89"/>
      <c r="H13" s="85"/>
      <c r="I13" s="31"/>
      <c r="J13" s="31"/>
      <c r="K13" s="31"/>
    </row>
    <row r="14" hidden="1" spans="1:11" x14ac:dyDescent="0.25">
      <c r="A14" s="31"/>
      <c r="B14" s="85"/>
      <c r="C14" s="85"/>
      <c r="D14" s="85" t="s">
        <v>296</v>
      </c>
      <c r="E14" s="85"/>
      <c r="F14" s="89"/>
      <c r="G14" s="89"/>
      <c r="H14" s="85"/>
      <c r="I14" s="31"/>
      <c r="J14" s="31"/>
      <c r="K14" s="31"/>
    </row>
    <row r="15" hidden="1" spans="1:11" x14ac:dyDescent="0.25">
      <c r="A15" s="31"/>
      <c r="B15" s="85"/>
      <c r="C15" s="85"/>
      <c r="D15" s="85" t="s">
        <v>297</v>
      </c>
      <c r="E15" s="85"/>
      <c r="F15" s="89">
        <v>0</v>
      </c>
      <c r="G15" s="89"/>
      <c r="H15" s="85"/>
      <c r="I15" s="31"/>
      <c r="J15" s="31"/>
      <c r="K15" s="31"/>
    </row>
    <row r="16" hidden="1" spans="1:11" x14ac:dyDescent="0.25">
      <c r="A16" s="31"/>
      <c r="B16" s="85"/>
      <c r="C16" s="85"/>
      <c r="D16" s="85" t="s">
        <v>298</v>
      </c>
      <c r="E16" s="85"/>
      <c r="F16" s="89">
        <v>0</v>
      </c>
      <c r="G16" s="89"/>
      <c r="H16" s="85"/>
      <c r="I16" s="31"/>
      <c r="J16" s="31"/>
      <c r="K16" s="31"/>
    </row>
    <row r="17" ht="14.4" customHeight="1" spans="1:11" x14ac:dyDescent="0.25">
      <c r="A17" s="31"/>
      <c r="B17" s="85"/>
      <c r="C17" s="85" t="s">
        <v>16</v>
      </c>
      <c r="D17" s="85"/>
      <c r="E17" s="85"/>
      <c r="F17" s="90">
        <f>+SUM(F10:F16)</f>
        <v>17391.229184410575</v>
      </c>
      <c r="G17" s="89"/>
      <c r="H17" s="89"/>
      <c r="I17" s="72"/>
      <c r="J17" s="31"/>
      <c r="K17" s="72"/>
    </row>
    <row r="18" ht="14.4" customHeight="1" spans="1:11" x14ac:dyDescent="0.25">
      <c r="A18" s="31"/>
      <c r="B18" s="85"/>
      <c r="C18" s="85"/>
      <c r="D18" s="85"/>
      <c r="E18" s="85"/>
      <c r="F18" s="89"/>
      <c r="G18" s="89"/>
      <c r="H18" s="89"/>
      <c r="I18" s="72"/>
      <c r="J18" s="31"/>
      <c r="K18" s="72"/>
    </row>
    <row r="19" spans="1:11" x14ac:dyDescent="0.25">
      <c r="A19" s="31"/>
      <c r="B19" s="85" t="s">
        <v>299</v>
      </c>
      <c r="C19" s="88" t="s">
        <v>300</v>
      </c>
      <c r="D19" s="85"/>
      <c r="E19" s="85"/>
      <c r="F19" s="85"/>
      <c r="G19" s="85"/>
      <c r="H19" s="85"/>
      <c r="I19" s="31"/>
      <c r="J19" s="31"/>
      <c r="K19" s="31"/>
    </row>
    <row r="20" hidden="1" spans="1:11" x14ac:dyDescent="0.25">
      <c r="A20" s="31"/>
      <c r="B20" s="85"/>
      <c r="C20" s="88"/>
      <c r="D20" s="85" t="s">
        <v>301</v>
      </c>
      <c r="E20" s="85"/>
      <c r="F20" s="91">
        <f>+SALDOS!D27</f>
        <v>0</v>
      </c>
      <c r="G20" s="85"/>
      <c r="H20" s="85"/>
      <c r="I20" s="31"/>
      <c r="J20" s="31"/>
      <c r="K20" s="31"/>
    </row>
    <row r="21" spans="1:11" x14ac:dyDescent="0.25">
      <c r="A21" s="31"/>
      <c r="B21" s="85"/>
      <c r="C21" s="88"/>
      <c r="D21" s="85" t="s">
        <v>302</v>
      </c>
      <c r="E21" s="85"/>
      <c r="F21" s="92">
        <f>+SALDOS!D26</f>
        <v>61778.081096079935</v>
      </c>
      <c r="G21" s="85"/>
      <c r="H21" s="85"/>
      <c r="I21" s="31"/>
      <c r="J21" s="31"/>
      <c r="K21" s="31"/>
    </row>
    <row r="22" ht="14.4" customHeight="1" spans="1:11" x14ac:dyDescent="0.25">
      <c r="A22" s="31"/>
      <c r="B22" s="85"/>
      <c r="C22" s="85"/>
      <c r="D22" s="85"/>
      <c r="E22" s="85"/>
      <c r="F22" s="90">
        <f>SUM(F20:F21)</f>
        <v>61778.081096079935</v>
      </c>
      <c r="G22" s="89"/>
      <c r="H22" s="89"/>
      <c r="I22" s="72"/>
      <c r="J22" s="31"/>
      <c r="K22" s="72"/>
    </row>
    <row r="23" ht="14.4" customHeight="1" spans="1:11" x14ac:dyDescent="0.25">
      <c r="A23" s="31"/>
      <c r="B23" s="85"/>
      <c r="C23" s="85"/>
      <c r="D23" s="85"/>
      <c r="E23" s="85"/>
      <c r="F23" s="89"/>
      <c r="G23" s="89"/>
      <c r="H23" s="85"/>
      <c r="I23" s="31"/>
      <c r="J23" s="31"/>
      <c r="K23" s="31"/>
    </row>
    <row r="24" spans="1:11" x14ac:dyDescent="0.25">
      <c r="A24" s="31"/>
      <c r="B24" s="85" t="s">
        <v>303</v>
      </c>
      <c r="C24" s="88" t="s">
        <v>304</v>
      </c>
      <c r="D24" s="85"/>
      <c r="E24" s="85"/>
      <c r="F24" s="85"/>
      <c r="G24" s="85"/>
      <c r="H24" s="85"/>
      <c r="I24" s="31"/>
      <c r="J24" s="31"/>
      <c r="K24" s="31"/>
    </row>
    <row r="25" spans="1:11" x14ac:dyDescent="0.25">
      <c r="A25" s="31"/>
      <c r="B25" s="85"/>
      <c r="C25" s="85"/>
      <c r="D25" s="85" t="s">
        <v>305</v>
      </c>
      <c r="E25" s="85"/>
      <c r="F25" s="89">
        <f>+SALDOS!D14+SALDOS!D15+SALDOS!D11+SALDOS!D16+SALDOS!D17</f>
        <v>3785.3824515469732</v>
      </c>
      <c r="G25" s="89"/>
      <c r="H25" s="85"/>
      <c r="I25" s="31"/>
      <c r="J25" s="31"/>
      <c r="K25" s="31"/>
    </row>
    <row r="26" hidden="1" spans="1:11" x14ac:dyDescent="0.25">
      <c r="A26" s="31"/>
      <c r="B26" s="85"/>
      <c r="C26" s="85"/>
      <c r="D26" s="85" t="s">
        <v>306</v>
      </c>
      <c r="E26" s="85"/>
      <c r="F26" s="89">
        <v>0</v>
      </c>
      <c r="G26" s="89"/>
      <c r="H26" s="85"/>
      <c r="I26" s="31"/>
      <c r="J26" s="31"/>
      <c r="K26" s="31"/>
    </row>
    <row r="27" ht="14.4" customHeight="1" spans="1:11" x14ac:dyDescent="0.25">
      <c r="A27" s="31"/>
      <c r="B27" s="85"/>
      <c r="C27" s="85" t="s">
        <v>16</v>
      </c>
      <c r="D27" s="85"/>
      <c r="E27" s="85"/>
      <c r="F27" s="90">
        <f>SUM(F25:F26)</f>
        <v>3785.3824515469732</v>
      </c>
      <c r="G27" s="89"/>
      <c r="H27" s="85"/>
      <c r="I27" s="72"/>
      <c r="J27" s="72"/>
      <c r="K27" s="31"/>
    </row>
    <row r="28" ht="14.4" customHeight="1" spans="1:11" x14ac:dyDescent="0.25">
      <c r="A28" s="31"/>
      <c r="B28" s="85"/>
      <c r="C28" s="85"/>
      <c r="D28" s="85"/>
      <c r="E28" s="85"/>
      <c r="F28" s="89"/>
      <c r="G28" s="89"/>
      <c r="H28" s="85"/>
      <c r="I28" s="31"/>
      <c r="J28" s="31"/>
      <c r="K28" s="31"/>
    </row>
    <row r="29" spans="1:11" x14ac:dyDescent="0.25">
      <c r="A29" s="31"/>
      <c r="B29" s="85" t="s">
        <v>307</v>
      </c>
      <c r="C29" s="88" t="s">
        <v>308</v>
      </c>
      <c r="D29" s="85"/>
      <c r="E29" s="85"/>
      <c r="F29" s="85"/>
      <c r="G29" s="85"/>
      <c r="H29" s="85"/>
      <c r="I29" s="31"/>
      <c r="J29" s="31"/>
      <c r="K29" s="31"/>
    </row>
    <row r="30" hidden="1" spans="1:11" x14ac:dyDescent="0.25">
      <c r="A30" s="31"/>
      <c r="B30" s="85"/>
      <c r="C30" s="88"/>
      <c r="D30" s="85" t="s">
        <v>309</v>
      </c>
      <c r="E30" s="85"/>
      <c r="F30" s="89"/>
      <c r="G30" s="89"/>
      <c r="H30" s="85"/>
      <c r="I30" s="31"/>
      <c r="J30" s="31"/>
      <c r="K30" s="31"/>
    </row>
    <row r="31" hidden="1" spans="1:11" x14ac:dyDescent="0.25">
      <c r="A31" s="31"/>
      <c r="B31" s="85"/>
      <c r="C31" s="85"/>
      <c r="D31" s="85" t="s">
        <v>310</v>
      </c>
      <c r="E31" s="85"/>
      <c r="F31" s="89"/>
      <c r="G31" s="89"/>
      <c r="H31" s="85"/>
      <c r="I31" s="31"/>
      <c r="J31" s="31"/>
      <c r="K31" s="31"/>
    </row>
    <row r="32" spans="1:11" x14ac:dyDescent="0.25">
      <c r="A32" s="31"/>
      <c r="B32" s="85"/>
      <c r="C32" s="85"/>
      <c r="D32" s="85" t="s">
        <v>311</v>
      </c>
      <c r="E32" s="85"/>
      <c r="F32" s="89">
        <f>+SALDOS!D18</f>
        <v>96140.96345638469</v>
      </c>
      <c r="G32" s="89"/>
      <c r="H32" s="85"/>
      <c r="I32" s="31"/>
      <c r="J32" s="31"/>
      <c r="K32" s="31"/>
    </row>
    <row r="33" hidden="1" spans="1:11" x14ac:dyDescent="0.25">
      <c r="A33" s="31"/>
      <c r="B33" s="85"/>
      <c r="C33" s="85"/>
      <c r="D33" s="85" t="s">
        <v>312</v>
      </c>
      <c r="E33" s="85"/>
      <c r="F33" s="89"/>
      <c r="G33" s="89"/>
      <c r="H33" s="85"/>
      <c r="I33" s="31"/>
      <c r="J33" s="31"/>
      <c r="K33" s="31"/>
    </row>
    <row r="34" spans="1:11" x14ac:dyDescent="0.25">
      <c r="A34" s="31"/>
      <c r="B34" s="85"/>
      <c r="C34" s="85"/>
      <c r="D34" s="85"/>
      <c r="E34" s="85"/>
      <c r="F34" s="89"/>
      <c r="G34" s="89"/>
      <c r="H34" s="85"/>
      <c r="I34" s="31"/>
      <c r="J34" s="31"/>
      <c r="K34" s="31"/>
    </row>
    <row r="35" hidden="1" spans="1:11" x14ac:dyDescent="0.25">
      <c r="A35" s="31"/>
      <c r="B35" s="85"/>
      <c r="C35" s="85"/>
      <c r="D35" s="85" t="s">
        <v>313</v>
      </c>
      <c r="E35" s="85"/>
      <c r="F35" s="89"/>
      <c r="G35" s="89"/>
      <c r="H35" s="85"/>
      <c r="I35" s="31"/>
      <c r="J35" s="31"/>
      <c r="K35" s="31"/>
    </row>
    <row r="36" hidden="1" spans="1:11" x14ac:dyDescent="0.25">
      <c r="A36" s="31"/>
      <c r="B36" s="85"/>
      <c r="C36" s="85"/>
      <c r="D36" s="85" t="s">
        <v>314</v>
      </c>
      <c r="E36" s="85"/>
      <c r="F36" s="89"/>
      <c r="G36" s="89"/>
      <c r="H36" s="85"/>
      <c r="I36" s="31"/>
      <c r="J36" s="31"/>
      <c r="K36" s="31"/>
    </row>
    <row r="37" spans="1:11" x14ac:dyDescent="0.25">
      <c r="A37" s="31"/>
      <c r="B37" s="85"/>
      <c r="C37" s="85"/>
      <c r="D37" s="85" t="s">
        <v>315</v>
      </c>
      <c r="E37" s="85"/>
      <c r="F37" s="89">
        <f>+SALDOS!F20+SALDOS!F22+SALDOS!F19</f>
        <v>8527.309732696129</v>
      </c>
      <c r="G37" s="89"/>
      <c r="H37" s="85"/>
      <c r="I37" s="31"/>
      <c r="J37" s="31"/>
      <c r="K37" s="31"/>
    </row>
    <row r="38" hidden="1" spans="1:11" x14ac:dyDescent="0.25">
      <c r="A38" s="31"/>
      <c r="B38" s="85"/>
      <c r="C38" s="85"/>
      <c r="D38" s="85" t="s">
        <v>306</v>
      </c>
      <c r="E38" s="85"/>
      <c r="F38" s="89"/>
      <c r="G38" s="89"/>
      <c r="H38" s="85"/>
      <c r="I38" s="31"/>
      <c r="J38" s="31"/>
      <c r="K38" s="31"/>
    </row>
    <row r="39" hidden="1" spans="1:11" x14ac:dyDescent="0.25">
      <c r="A39" s="31"/>
      <c r="B39" s="85"/>
      <c r="C39" s="85"/>
      <c r="D39" s="85" t="s">
        <v>316</v>
      </c>
      <c r="E39" s="85"/>
      <c r="F39" s="89"/>
      <c r="G39" s="89"/>
      <c r="H39" s="85"/>
      <c r="I39" s="31"/>
      <c r="J39" s="31"/>
      <c r="K39" s="31"/>
    </row>
    <row r="40" hidden="1" spans="1:11" x14ac:dyDescent="0.25">
      <c r="A40" s="31"/>
      <c r="B40" s="85"/>
      <c r="C40" s="85"/>
      <c r="D40" s="85" t="s">
        <v>317</v>
      </c>
      <c r="E40" s="85"/>
      <c r="F40" s="89"/>
      <c r="G40" s="89"/>
      <c r="H40" s="85"/>
      <c r="I40" s="31"/>
      <c r="J40" s="31"/>
      <c r="K40" s="31"/>
    </row>
    <row r="41" hidden="1" spans="1:11" x14ac:dyDescent="0.25">
      <c r="A41" s="31"/>
      <c r="B41" s="85"/>
      <c r="C41" s="85"/>
      <c r="D41" s="85" t="s">
        <v>318</v>
      </c>
      <c r="E41" s="85"/>
      <c r="F41" s="89"/>
      <c r="G41" s="89"/>
      <c r="H41" s="85"/>
      <c r="I41" s="31"/>
      <c r="J41" s="31"/>
      <c r="K41" s="31"/>
    </row>
    <row r="42" hidden="1" spans="1:11" x14ac:dyDescent="0.25">
      <c r="A42" s="31"/>
      <c r="B42" s="85"/>
      <c r="C42" s="85"/>
      <c r="D42" s="85" t="s">
        <v>319</v>
      </c>
      <c r="E42" s="85"/>
      <c r="F42" s="89"/>
      <c r="G42" s="89"/>
      <c r="H42" s="85"/>
      <c r="I42" s="31"/>
      <c r="J42" s="31"/>
      <c r="K42" s="31"/>
    </row>
    <row r="43" hidden="1" spans="1:11" x14ac:dyDescent="0.25">
      <c r="A43" s="31"/>
      <c r="B43" s="85"/>
      <c r="C43" s="85"/>
      <c r="D43" s="85" t="s">
        <v>320</v>
      </c>
      <c r="E43" s="85"/>
      <c r="F43" s="89"/>
      <c r="G43" s="89"/>
      <c r="H43" s="85"/>
      <c r="I43" s="31"/>
      <c r="J43" s="31"/>
      <c r="K43" s="31"/>
    </row>
    <row r="44" hidden="1" spans="1:11" x14ac:dyDescent="0.25">
      <c r="A44" s="31"/>
      <c r="B44" s="85"/>
      <c r="C44" s="85"/>
      <c r="D44" s="85" t="s">
        <v>321</v>
      </c>
      <c r="E44" s="85"/>
      <c r="F44" s="89"/>
      <c r="G44" s="89"/>
      <c r="H44" s="85"/>
      <c r="I44" s="31"/>
      <c r="J44" s="31"/>
      <c r="K44" s="31"/>
    </row>
    <row r="45" hidden="1" spans="1:11" x14ac:dyDescent="0.25">
      <c r="A45" s="31"/>
      <c r="B45" s="85"/>
      <c r="C45" s="85"/>
      <c r="D45" s="85" t="s">
        <v>322</v>
      </c>
      <c r="E45" s="85"/>
      <c r="F45" s="89"/>
      <c r="G45" s="89"/>
      <c r="H45" s="85"/>
      <c r="I45" s="31"/>
      <c r="J45" s="31"/>
      <c r="K45" s="31"/>
    </row>
    <row r="46" hidden="1" spans="1:11" x14ac:dyDescent="0.25">
      <c r="A46" s="31"/>
      <c r="B46" s="85"/>
      <c r="C46" s="85"/>
      <c r="D46" s="85" t="s">
        <v>323</v>
      </c>
      <c r="E46" s="85"/>
      <c r="F46" s="89"/>
      <c r="G46" s="89"/>
      <c r="H46" s="85"/>
      <c r="I46" s="31"/>
      <c r="J46" s="31"/>
      <c r="K46" s="31"/>
    </row>
    <row r="47" spans="1:11" x14ac:dyDescent="0.25">
      <c r="A47" s="31"/>
      <c r="B47" s="85"/>
      <c r="C47" s="85"/>
      <c r="D47" s="85"/>
      <c r="E47" s="85"/>
      <c r="F47" s="89"/>
      <c r="G47" s="89"/>
      <c r="H47" s="85"/>
      <c r="I47" s="31"/>
      <c r="J47" s="31"/>
      <c r="K47" s="31"/>
    </row>
    <row r="48" spans="1:11" x14ac:dyDescent="0.25">
      <c r="A48" s="31"/>
      <c r="B48" s="85"/>
      <c r="C48" s="85"/>
      <c r="D48" s="85" t="s">
        <v>324</v>
      </c>
      <c r="E48" s="85"/>
      <c r="F48" s="89">
        <f>+SALDOS!D23+SALDOS!D24+SALDOS!D25</f>
        <v>56518.43604364208</v>
      </c>
      <c r="G48" s="89"/>
      <c r="H48" s="85"/>
      <c r="I48" s="31"/>
      <c r="J48" s="31"/>
      <c r="K48" s="31"/>
    </row>
    <row r="49" ht="14.4" customHeight="1" spans="1:11" x14ac:dyDescent="0.25">
      <c r="A49" s="31"/>
      <c r="B49" s="85"/>
      <c r="C49" s="85" t="s">
        <v>16</v>
      </c>
      <c r="D49" s="85"/>
      <c r="E49" s="85"/>
      <c r="F49" s="90">
        <f>SUM(F30:F48)</f>
        <v>161186.7092327229</v>
      </c>
      <c r="G49" s="89"/>
      <c r="H49" s="89"/>
      <c r="I49" s="72"/>
      <c r="J49" s="31"/>
      <c r="K49" s="72"/>
    </row>
    <row r="50" ht="14.4" customHeight="1" spans="1:11" x14ac:dyDescent="0.25">
      <c r="A50" s="31"/>
      <c r="B50" s="85"/>
      <c r="C50" s="85"/>
      <c r="D50" s="85"/>
      <c r="E50" s="85"/>
      <c r="F50" s="89"/>
      <c r="G50" s="89"/>
      <c r="H50" s="85"/>
      <c r="I50" s="72"/>
      <c r="J50" s="31"/>
      <c r="K50" s="72"/>
    </row>
    <row r="51" spans="1:11" x14ac:dyDescent="0.25">
      <c r="A51" s="31"/>
      <c r="B51" s="85"/>
      <c r="C51" s="85"/>
      <c r="D51" s="85"/>
      <c r="E51" s="85"/>
      <c r="F51" s="85"/>
      <c r="G51" s="85"/>
      <c r="H51" s="85"/>
      <c r="I51" s="72"/>
      <c r="J51" s="31"/>
      <c r="K51" s="72"/>
    </row>
    <row r="52" spans="1:11" x14ac:dyDescent="0.25">
      <c r="A52" s="31"/>
      <c r="B52" s="85"/>
      <c r="C52" s="85"/>
      <c r="D52" s="85"/>
      <c r="E52" s="85"/>
      <c r="F52" s="89"/>
      <c r="G52" s="85"/>
      <c r="H52" s="85"/>
      <c r="I52" s="31"/>
      <c r="J52" s="31"/>
      <c r="K52" s="31"/>
    </row>
    <row r="53" spans="1:11" x14ac:dyDescent="0.25">
      <c r="A53" s="31"/>
      <c r="B53" s="85"/>
      <c r="C53" s="85"/>
      <c r="D53" s="85"/>
      <c r="E53" s="85"/>
      <c r="F53" s="85"/>
      <c r="G53" s="85"/>
      <c r="H53" s="85"/>
      <c r="I53" s="31"/>
      <c r="J53" s="31"/>
      <c r="K53" s="31"/>
    </row>
    <row r="54" spans="1:11" x14ac:dyDescent="0.25">
      <c r="A54" s="31"/>
      <c r="B54" s="85"/>
      <c r="C54" s="85"/>
      <c r="D54" s="85"/>
      <c r="E54" s="85"/>
      <c r="F54" s="89"/>
      <c r="G54" s="85"/>
      <c r="H54" s="85"/>
      <c r="I54" s="31"/>
      <c r="J54" s="31"/>
      <c r="K54" s="31"/>
    </row>
  </sheetData>
  <pageMargins left="0.75" right="0.75" top="1" bottom="1" header="0" footer="0"/>
  <pageSetup paperSize="9"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workbookViewId="0" zoomScale="100" zoomScaleNormal="100"/>
  </sheetViews>
  <sheetFormatPr defaultRowHeight="0" outlineLevelRow="0" outlineLevelCol="0" x14ac:dyDescent="0" customHeight="1"/>
  <cols>
    <col min="1" max="1" width="3.44140625" customWidth="1"/>
    <col min="2" max="2" width="2.6640625" customWidth="1"/>
    <col min="3" max="3" width="20.88671875" customWidth="1"/>
    <col min="4" max="4" width="17.88671875" customWidth="1"/>
    <col min="5" max="5" width="19.5546875" customWidth="1"/>
    <col min="6" max="12" width="9" hidden="1" customWidth="1"/>
    <col min="13" max="13" width="2.6640625" customWidth="1"/>
    <col min="14" max="14" width="11.6640625" customWidth="1"/>
    <col min="15" max="15" width="16.6640625" customWidth="1"/>
    <col min="16" max="257" width="9.109375" customWidth="1"/>
  </cols>
  <sheetData>
    <row r="1" ht="13.8" customHeight="1" spans="1:16" x14ac:dyDescent="0.25">
      <c r="A1" s="85"/>
      <c r="B1" s="85"/>
      <c r="C1" s="85"/>
      <c r="D1" s="85"/>
      <c r="E1" s="86">
        <f>+EESP!F13</f>
        <v>46234</v>
      </c>
      <c r="F1" s="86"/>
      <c r="G1" s="86" t="s">
        <v>325</v>
      </c>
      <c r="H1" s="86"/>
      <c r="I1" s="86"/>
      <c r="J1" s="86"/>
      <c r="K1" s="86" t="s">
        <v>326</v>
      </c>
      <c r="L1" s="86">
        <f>+EESP!G13</f>
        <v>38717</v>
      </c>
      <c r="M1" s="93"/>
    </row>
    <row r="2" ht="13.8" customHeight="1" spans="1:16" x14ac:dyDescent="0.25">
      <c r="A2" s="84" t="s">
        <v>327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94"/>
      <c r="M2" s="94"/>
    </row>
    <row r="3" ht="13.8" customHeight="1" spans="1:16" x14ac:dyDescent="0.25">
      <c r="A3" s="84" t="s">
        <v>328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94"/>
      <c r="M3" s="94"/>
    </row>
    <row r="4" ht="13.8" customHeight="1" spans="1:16" x14ac:dyDescent="0.25">
      <c r="A4" s="95" t="s">
        <v>329</v>
      </c>
      <c r="B4" s="88" t="s">
        <v>330</v>
      </c>
      <c r="C4" s="94"/>
      <c r="D4" s="94"/>
      <c r="E4" s="94"/>
      <c r="F4" s="85"/>
      <c r="G4" s="85"/>
      <c r="H4" s="85"/>
      <c r="I4" s="85"/>
      <c r="J4" s="85"/>
      <c r="K4" s="85"/>
      <c r="L4" s="94"/>
      <c r="M4" s="94"/>
    </row>
    <row r="5" ht="13.8" customHeight="1" hidden="1" spans="1:16" x14ac:dyDescent="0.25">
      <c r="A5" s="95"/>
      <c r="B5" s="94"/>
      <c r="C5" s="85" t="s">
        <v>331</v>
      </c>
      <c r="D5" s="85"/>
      <c r="E5" s="89">
        <v>0</v>
      </c>
      <c r="F5" s="85"/>
      <c r="G5" s="85"/>
      <c r="H5" s="85"/>
      <c r="I5" s="85"/>
      <c r="J5" s="85"/>
      <c r="K5" s="85"/>
      <c r="L5" s="85"/>
      <c r="M5" s="85"/>
    </row>
    <row r="6" ht="13.8" customHeight="1" spans="1:16" x14ac:dyDescent="0.25">
      <c r="A6" s="95"/>
      <c r="B6" s="94"/>
      <c r="C6" s="85" t="s">
        <v>332</v>
      </c>
      <c r="D6" s="85"/>
      <c r="E6" s="89">
        <f>-SALDOS!F12-SALDOS!F82</f>
        <v>1827260.6861005193</v>
      </c>
      <c r="F6" s="85"/>
      <c r="G6" s="85"/>
      <c r="H6" s="85"/>
      <c r="I6" s="85"/>
      <c r="J6" s="85"/>
      <c r="K6" s="85"/>
      <c r="L6" s="85"/>
      <c r="M6" s="85"/>
      <c r="N6" s="42"/>
      <c r="O6" s="42"/>
      <c r="P6" s="42"/>
    </row>
    <row r="7" ht="13.8" customHeight="1" spans="1:16" x14ac:dyDescent="0.25">
      <c r="A7" s="95"/>
      <c r="B7" s="94"/>
      <c r="C7" s="85" t="s">
        <v>333</v>
      </c>
      <c r="D7" s="85"/>
      <c r="E7" s="89">
        <f>-SUM(SALDOS!F53:F72)-SALDOS!F80-SUM(SALDOS!F84:F106)</f>
        <v>138311.72003682432</v>
      </c>
      <c r="F7" s="85"/>
      <c r="G7" s="85"/>
      <c r="H7" s="85"/>
      <c r="I7" s="85"/>
      <c r="J7" s="85"/>
      <c r="K7" s="85"/>
      <c r="L7" s="85"/>
      <c r="M7" s="85"/>
      <c r="N7" s="34"/>
      <c r="O7" s="96"/>
      <c r="P7" s="96"/>
    </row>
    <row r="8" ht="13.8" customHeight="1" hidden="1" spans="1:16" x14ac:dyDescent="0.25">
      <c r="A8" s="95"/>
      <c r="B8" s="94"/>
      <c r="C8" s="85" t="s">
        <v>334</v>
      </c>
      <c r="D8" s="85"/>
      <c r="E8" s="89"/>
      <c r="F8" s="85"/>
      <c r="G8" s="85"/>
      <c r="H8" s="85"/>
      <c r="I8" s="85"/>
      <c r="J8" s="85"/>
      <c r="K8" s="85"/>
      <c r="L8" s="85"/>
      <c r="M8" s="85"/>
      <c r="O8" s="94"/>
      <c r="P8" s="96"/>
    </row>
    <row r="9" ht="13.8" customHeight="1" hidden="1" spans="1:16" x14ac:dyDescent="0.25">
      <c r="A9" s="95"/>
      <c r="B9" s="94"/>
      <c r="C9" s="85" t="s">
        <v>335</v>
      </c>
      <c r="D9" s="85"/>
      <c r="E9" s="89"/>
      <c r="F9" s="85"/>
      <c r="G9" s="85"/>
      <c r="H9" s="85"/>
      <c r="I9" s="85"/>
      <c r="J9" s="85"/>
      <c r="K9" s="85"/>
      <c r="L9" s="85"/>
      <c r="M9" s="85"/>
      <c r="O9" s="94"/>
      <c r="P9" s="96"/>
    </row>
    <row r="10" ht="14.4" customHeight="1" spans="1:16" x14ac:dyDescent="0.25">
      <c r="A10" s="95"/>
      <c r="B10" s="94"/>
      <c r="C10" s="85"/>
      <c r="D10" s="85"/>
      <c r="E10" s="90">
        <f>+E6+E7</f>
        <v>1965572.4061373435</v>
      </c>
      <c r="F10" s="85"/>
      <c r="G10" s="85"/>
      <c r="H10" s="85"/>
      <c r="I10" s="85"/>
      <c r="J10" s="85"/>
      <c r="K10" s="85"/>
      <c r="L10" s="85"/>
      <c r="M10" s="85"/>
      <c r="O10" s="94"/>
      <c r="P10" s="96"/>
    </row>
    <row r="11" ht="14.4" customHeight="1" spans="1:16" x14ac:dyDescent="0.25">
      <c r="A11" s="97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94"/>
      <c r="M11" s="94"/>
    </row>
    <row r="12" ht="13.8" customHeight="1" spans="1:16" x14ac:dyDescent="0.25">
      <c r="A12" s="95" t="s">
        <v>336</v>
      </c>
      <c r="B12" s="88" t="s">
        <v>337</v>
      </c>
      <c r="C12" s="85"/>
      <c r="D12" s="94"/>
      <c r="E12" s="94"/>
      <c r="F12" s="85"/>
      <c r="G12" s="85"/>
      <c r="H12" s="85"/>
      <c r="I12" s="85"/>
      <c r="J12" s="85"/>
      <c r="K12" s="85"/>
      <c r="L12" s="94"/>
      <c r="M12" s="94"/>
    </row>
    <row r="13" ht="13.8" customHeight="1" spans="1:16" x14ac:dyDescent="0.25">
      <c r="A13" s="95"/>
      <c r="B13" s="85"/>
      <c r="C13" s="85" t="s">
        <v>338</v>
      </c>
      <c r="D13" s="94"/>
      <c r="E13" s="89">
        <f>+SALDOS!E74</f>
        <v>46146.18483046174</v>
      </c>
      <c r="F13" s="89"/>
      <c r="G13" s="89">
        <v>70</v>
      </c>
      <c r="H13" s="89"/>
      <c r="I13" s="89"/>
      <c r="J13" s="89"/>
      <c r="K13" s="89">
        <v>0</v>
      </c>
      <c r="L13" s="96"/>
      <c r="M13" s="96"/>
    </row>
    <row r="14" ht="13.8" customHeight="1" spans="1:16" x14ac:dyDescent="0.25">
      <c r="A14" s="95"/>
      <c r="B14" s="85"/>
      <c r="C14" s="85" t="s">
        <v>339</v>
      </c>
      <c r="D14" s="94"/>
      <c r="E14" s="89">
        <f>+SALDOS!E73</f>
        <v>0</v>
      </c>
      <c r="F14" s="89"/>
      <c r="G14" s="89"/>
      <c r="H14" s="89"/>
      <c r="I14" s="89"/>
      <c r="J14" s="89"/>
      <c r="K14" s="89"/>
      <c r="L14" s="96"/>
      <c r="M14" s="96"/>
    </row>
    <row r="15" ht="13.8" customHeight="1" spans="1:16" x14ac:dyDescent="0.25">
      <c r="A15" s="95"/>
      <c r="B15" s="85"/>
      <c r="C15" s="85" t="s">
        <v>340</v>
      </c>
      <c r="D15" s="94"/>
      <c r="E15" s="89"/>
      <c r="F15" s="89"/>
      <c r="G15" s="89"/>
      <c r="H15" s="89"/>
      <c r="I15" s="89"/>
      <c r="J15" s="89"/>
      <c r="K15" s="89"/>
      <c r="L15" s="96"/>
      <c r="M15" s="96"/>
    </row>
    <row r="16" ht="14.4" customHeight="1" spans="1:16" x14ac:dyDescent="0.25">
      <c r="A16" s="95"/>
      <c r="B16" s="94"/>
      <c r="C16" s="94"/>
      <c r="D16" s="94"/>
      <c r="E16" s="90">
        <f>+E13+E14+E15</f>
        <v>46146.18483046174</v>
      </c>
      <c r="F16" s="89"/>
      <c r="G16" s="89"/>
      <c r="H16" s="89"/>
      <c r="I16" s="89"/>
      <c r="J16" s="89"/>
      <c r="K16" s="89"/>
      <c r="L16" s="96"/>
      <c r="M16" s="96"/>
    </row>
    <row r="17" ht="15" customHeight="1" spans="1:16" x14ac:dyDescent="0.25">
      <c r="A17" s="95"/>
      <c r="B17" s="94"/>
      <c r="C17" s="94"/>
      <c r="D17" s="94"/>
      <c r="E17" s="96"/>
      <c r="F17" s="89"/>
      <c r="G17" s="90">
        <f>SUM(G13:G16)</f>
        <v>70</v>
      </c>
      <c r="H17" s="89"/>
      <c r="I17" s="89"/>
      <c r="J17" s="89"/>
      <c r="K17" s="90" t="e">
        <f>SUM(#REF!)</f>
        <v>#REF!</v>
      </c>
      <c r="L17" s="96"/>
      <c r="M17" s="94"/>
    </row>
    <row r="18" ht="14.4" customHeight="1" spans="1:16" x14ac:dyDescent="0.25">
      <c r="A18" s="95"/>
      <c r="B18" s="85"/>
      <c r="C18" s="85"/>
      <c r="D18" s="85"/>
      <c r="E18" s="89"/>
      <c r="F18" s="89"/>
      <c r="G18" s="89"/>
      <c r="H18" s="89"/>
      <c r="I18" s="89"/>
      <c r="J18" s="89"/>
      <c r="K18" s="89"/>
      <c r="L18" s="94"/>
      <c r="M18" s="94"/>
    </row>
    <row r="19" ht="13.8" customHeight="1" spans="1:16" x14ac:dyDescent="0.25">
      <c r="A19" s="95" t="s">
        <v>341</v>
      </c>
      <c r="B19" s="88" t="s">
        <v>342</v>
      </c>
      <c r="C19" s="85"/>
      <c r="D19" s="85"/>
      <c r="E19" s="85"/>
      <c r="F19" s="98"/>
      <c r="G19" s="95"/>
      <c r="H19" s="95"/>
      <c r="I19" s="95"/>
      <c r="J19" s="99"/>
      <c r="K19" s="99"/>
      <c r="L19" s="99"/>
      <c r="M19" s="94"/>
    </row>
    <row r="20" ht="13.8" customHeight="1" spans="1:16" x14ac:dyDescent="0.25">
      <c r="A20" s="95"/>
      <c r="B20" s="88"/>
      <c r="C20" s="85" t="s">
        <v>343</v>
      </c>
      <c r="D20" s="85"/>
      <c r="E20" s="89">
        <f>+SALDOS!E76</f>
        <v>2005.011772803817</v>
      </c>
      <c r="F20" s="95"/>
      <c r="G20" s="95"/>
      <c r="H20" s="95"/>
      <c r="I20" s="95"/>
      <c r="J20" s="99"/>
      <c r="K20" s="99"/>
      <c r="L20" s="99"/>
      <c r="M20" s="94"/>
      <c r="N20" s="42"/>
      <c r="O20" s="42"/>
      <c r="P20" s="42"/>
    </row>
    <row r="21" ht="13.8" customHeight="1" spans="1:16" x14ac:dyDescent="0.25">
      <c r="A21" s="95"/>
      <c r="B21" s="88"/>
      <c r="C21" s="85" t="s">
        <v>344</v>
      </c>
      <c r="D21" s="85"/>
      <c r="E21" s="89">
        <f>-SALDOS!D77</f>
        <v>-203.53504741354757</v>
      </c>
      <c r="F21" s="95"/>
      <c r="G21" s="95"/>
      <c r="H21" s="95"/>
      <c r="I21" s="95"/>
      <c r="J21" s="99"/>
      <c r="K21" s="99"/>
      <c r="L21" s="99"/>
      <c r="M21" s="94"/>
      <c r="N21" s="42"/>
      <c r="O21" s="42"/>
      <c r="P21" s="42"/>
    </row>
    <row r="22" ht="13.8" customHeight="1" spans="1:16" x14ac:dyDescent="0.25">
      <c r="A22" s="95"/>
      <c r="B22" s="88"/>
      <c r="C22" s="85" t="s">
        <v>345</v>
      </c>
      <c r="D22" s="85"/>
      <c r="E22" s="89">
        <f>+SALDOS!E75</f>
        <v>2887.9379839461453</v>
      </c>
      <c r="F22" s="94"/>
      <c r="G22" s="94"/>
      <c r="H22" s="94"/>
      <c r="I22" s="94"/>
      <c r="J22" s="94"/>
      <c r="K22" s="94"/>
      <c r="L22" s="94"/>
      <c r="M22" s="94"/>
      <c r="N22" s="42"/>
      <c r="O22" s="42"/>
      <c r="P22" s="42"/>
    </row>
    <row r="23" ht="13.8" customHeight="1" hidden="1" spans="1:16" x14ac:dyDescent="0.25">
      <c r="A23" s="95"/>
      <c r="B23" s="88"/>
      <c r="C23" s="85" t="s">
        <v>346</v>
      </c>
      <c r="D23" s="85"/>
      <c r="E23" s="89"/>
      <c r="F23" s="94"/>
      <c r="G23" s="94"/>
      <c r="H23" s="94"/>
      <c r="I23" s="94"/>
      <c r="J23" s="94"/>
      <c r="K23" s="94"/>
      <c r="L23" s="94"/>
      <c r="M23" s="94"/>
    </row>
    <row r="24" ht="14.4" customHeight="1" spans="1:16" x14ac:dyDescent="0.25">
      <c r="A24" s="95"/>
      <c r="B24" s="85" t="s">
        <v>16</v>
      </c>
      <c r="C24" s="85"/>
      <c r="D24" s="85"/>
      <c r="E24" s="90">
        <f>SUM(E20:E23)</f>
        <v>4689.4147093364145</v>
      </c>
      <c r="F24" s="94"/>
      <c r="G24" s="94"/>
      <c r="H24" s="94"/>
      <c r="I24" s="94"/>
      <c r="J24" s="94"/>
      <c r="K24" s="94"/>
      <c r="L24" s="96"/>
      <c r="M24" s="96"/>
    </row>
    <row r="25" ht="14.4" customHeight="1" spans="1:16" x14ac:dyDescent="0.25">
      <c r="A25" s="95"/>
      <c r="B25" s="85"/>
      <c r="C25" s="85"/>
      <c r="D25" s="85"/>
      <c r="E25" s="89"/>
      <c r="F25" s="94"/>
      <c r="G25" s="94"/>
      <c r="H25" s="94"/>
      <c r="I25" s="94"/>
      <c r="J25" s="94"/>
      <c r="K25" s="94"/>
      <c r="L25" s="96"/>
      <c r="M25" s="96"/>
    </row>
    <row r="26" ht="13.8" customHeight="1" spans="1:16" x14ac:dyDescent="0.25">
      <c r="A26" s="95" t="s">
        <v>347</v>
      </c>
      <c r="B26" s="88" t="s">
        <v>348</v>
      </c>
      <c r="C26" s="85"/>
      <c r="D26" s="85"/>
      <c r="E26" s="89"/>
      <c r="F26" s="94"/>
      <c r="G26" s="94"/>
      <c r="H26" s="94"/>
      <c r="I26" s="94"/>
      <c r="J26" s="94"/>
      <c r="K26" s="94"/>
      <c r="L26" s="96"/>
      <c r="M26" s="96"/>
    </row>
    <row r="27" ht="13.8" customHeight="1" hidden="1" spans="1:16" x14ac:dyDescent="0.25">
      <c r="A27" s="95"/>
      <c r="B27" s="85"/>
      <c r="C27" s="85" t="s">
        <v>349</v>
      </c>
      <c r="D27" s="85"/>
      <c r="E27" s="89"/>
      <c r="F27" s="94"/>
      <c r="G27" s="94"/>
      <c r="H27" s="94"/>
      <c r="I27" s="94"/>
      <c r="J27" s="94"/>
      <c r="K27" s="94"/>
      <c r="L27" s="96"/>
      <c r="M27" s="96"/>
    </row>
    <row r="28" ht="13.8" customHeight="1" hidden="1" spans="1:16" x14ac:dyDescent="0.25">
      <c r="A28" s="95"/>
      <c r="B28" s="85"/>
      <c r="C28" s="85" t="s">
        <v>350</v>
      </c>
      <c r="D28" s="85"/>
      <c r="E28" s="89"/>
      <c r="F28" s="94"/>
      <c r="G28" s="94"/>
      <c r="H28" s="94"/>
      <c r="I28" s="94"/>
      <c r="J28" s="94"/>
      <c r="K28" s="94"/>
      <c r="L28" s="96"/>
      <c r="M28" s="96"/>
    </row>
    <row r="29" ht="13.8" customHeight="1" hidden="1" spans="1:16" x14ac:dyDescent="0.25">
      <c r="A29" s="95"/>
      <c r="B29" s="85"/>
      <c r="C29" s="85" t="s">
        <v>351</v>
      </c>
      <c r="D29" s="85"/>
      <c r="E29" s="89"/>
      <c r="F29" s="94"/>
      <c r="G29" s="94"/>
      <c r="H29" s="94"/>
      <c r="I29" s="94"/>
      <c r="J29" s="94"/>
      <c r="K29" s="94"/>
      <c r="L29" s="96"/>
      <c r="M29" s="96"/>
    </row>
    <row r="30" ht="13.8" customHeight="1" hidden="1" spans="1:16" x14ac:dyDescent="0.25">
      <c r="A30" s="95"/>
      <c r="B30" s="85"/>
      <c r="C30" s="85" t="s">
        <v>352</v>
      </c>
      <c r="D30" s="85"/>
      <c r="E30" s="89">
        <f>+SALDOS!E83</f>
        <v>0</v>
      </c>
      <c r="F30" s="94"/>
      <c r="G30" s="94"/>
      <c r="H30" s="94"/>
      <c r="I30" s="94"/>
      <c r="J30" s="94"/>
      <c r="K30" s="94"/>
      <c r="L30" s="96"/>
      <c r="M30" s="96"/>
      <c r="N30" s="42"/>
      <c r="O30" s="42"/>
      <c r="P30" s="42"/>
    </row>
    <row r="31" ht="13.8" customHeight="1" hidden="1" spans="1:16" x14ac:dyDescent="0.25">
      <c r="A31" s="95"/>
      <c r="B31" s="85"/>
      <c r="C31" s="85" t="s">
        <v>353</v>
      </c>
      <c r="D31" s="85"/>
      <c r="E31" s="89"/>
      <c r="F31" s="94"/>
      <c r="G31" s="94"/>
      <c r="H31" s="94"/>
      <c r="I31" s="94"/>
      <c r="J31" s="94"/>
      <c r="K31" s="94"/>
      <c r="L31" s="96"/>
      <c r="M31" s="96"/>
    </row>
    <row r="32" ht="13.8" customHeight="1" hidden="1" spans="1:16" x14ac:dyDescent="0.25">
      <c r="A32" s="95"/>
      <c r="B32" s="94"/>
      <c r="C32" s="85" t="s">
        <v>354</v>
      </c>
      <c r="D32" s="94"/>
      <c r="E32" s="100">
        <f>+SALDOS!E21</f>
        <v>0</v>
      </c>
      <c r="F32" s="94"/>
      <c r="G32" s="94"/>
      <c r="H32" s="94"/>
      <c r="I32" s="94"/>
      <c r="J32" s="94"/>
      <c r="K32" s="94"/>
      <c r="L32" s="96"/>
      <c r="M32" s="96"/>
    </row>
    <row r="33" ht="13.8" customHeight="1" hidden="1" spans="1:16" x14ac:dyDescent="0.25">
      <c r="A33" s="95"/>
      <c r="B33" s="94"/>
      <c r="C33" s="85" t="s">
        <v>355</v>
      </c>
      <c r="D33" s="94"/>
      <c r="E33" s="100">
        <f>+SALDOS!E22</f>
        <v>0</v>
      </c>
      <c r="F33" s="94"/>
      <c r="G33" s="94"/>
      <c r="H33" s="94"/>
      <c r="I33" s="94"/>
      <c r="J33" s="94"/>
      <c r="K33" s="94"/>
      <c r="L33" s="96"/>
      <c r="M33" s="96"/>
    </row>
    <row r="34" ht="14.4" customHeight="1" spans="1:16" x14ac:dyDescent="0.25">
      <c r="A34" s="94"/>
      <c r="B34" s="94"/>
      <c r="C34" s="94"/>
      <c r="D34" s="94"/>
      <c r="E34" s="90">
        <f>+E32+E30+E33</f>
        <v>0</v>
      </c>
      <c r="F34" s="94"/>
      <c r="G34" s="94"/>
      <c r="H34" s="94"/>
      <c r="I34" s="94"/>
      <c r="J34" s="94"/>
      <c r="K34" s="94"/>
      <c r="L34" s="94"/>
      <c r="M34" s="94"/>
    </row>
    <row r="35" ht="14.4" customHeight="1" spans="1:16" x14ac:dyDescent="0.25">
      <c r="A35" s="85" t="s">
        <v>237</v>
      </c>
      <c r="B35" s="85"/>
      <c r="C35" s="85"/>
      <c r="D35" s="85"/>
      <c r="E35" s="85"/>
      <c r="F35" s="85"/>
      <c r="G35" s="85"/>
      <c r="H35" s="85"/>
      <c r="I35" s="31"/>
      <c r="J35" s="87"/>
      <c r="K35" s="87"/>
      <c r="L35" s="87"/>
      <c r="M35" s="94"/>
    </row>
    <row r="36" ht="13.8" customHeight="1" spans="1:16" x14ac:dyDescent="0.25">
      <c r="A36" s="85" t="s">
        <v>238</v>
      </c>
      <c r="B36" s="85"/>
      <c r="C36" s="85"/>
      <c r="D36" s="85"/>
      <c r="E36" s="85"/>
      <c r="F36" s="85"/>
      <c r="G36" s="85"/>
      <c r="H36" s="85"/>
      <c r="I36" s="31"/>
      <c r="J36" s="87"/>
      <c r="K36" s="87"/>
      <c r="L36" s="87"/>
      <c r="M36" s="94"/>
    </row>
    <row r="37" ht="13.8" customHeight="1" spans="1:16" x14ac:dyDescent="0.25">
      <c r="A37" s="85"/>
      <c r="B37" s="85"/>
      <c r="C37" s="85"/>
      <c r="D37" s="85"/>
      <c r="E37" s="85"/>
      <c r="F37" s="85"/>
      <c r="G37" s="85"/>
      <c r="H37" s="85"/>
      <c r="I37" s="31"/>
      <c r="J37" s="87"/>
      <c r="K37" s="87"/>
      <c r="L37" s="87"/>
      <c r="M37" s="94"/>
    </row>
    <row r="38" ht="13.8" customHeight="1" spans="1:16" x14ac:dyDescent="0.25">
      <c r="A38" s="85"/>
      <c r="B38" s="85"/>
      <c r="C38" s="85"/>
      <c r="D38" s="85"/>
      <c r="E38" s="85"/>
      <c r="F38" s="85"/>
      <c r="G38" s="85"/>
      <c r="H38" s="85"/>
      <c r="I38" s="31"/>
      <c r="J38" s="87"/>
      <c r="K38" s="87"/>
      <c r="L38" s="87"/>
      <c r="M38" s="94"/>
    </row>
    <row r="39" ht="13.8" customHeight="1" spans="1:16" x14ac:dyDescent="0.25">
      <c r="A39" s="85"/>
      <c r="B39" s="85"/>
      <c r="C39" s="85"/>
      <c r="D39" s="85"/>
      <c r="E39" s="85"/>
      <c r="F39" s="85"/>
      <c r="G39" s="85"/>
      <c r="H39" s="85"/>
      <c r="I39" s="31"/>
      <c r="J39" s="87"/>
      <c r="K39" s="87"/>
      <c r="L39" s="87"/>
      <c r="M39" s="94"/>
    </row>
    <row r="40" ht="13.8" customHeight="1" spans="1:16" x14ac:dyDescent="0.25">
      <c r="A40" s="85"/>
      <c r="B40" s="85"/>
      <c r="C40" s="85"/>
      <c r="D40" s="85"/>
      <c r="E40" s="85"/>
      <c r="F40" s="85"/>
      <c r="G40" s="85"/>
      <c r="H40" s="85"/>
      <c r="I40" s="31"/>
      <c r="J40" s="87"/>
      <c r="K40" s="87"/>
      <c r="L40" s="87"/>
      <c r="M40" s="94"/>
    </row>
    <row r="41" ht="13.8" customHeight="1" spans="1:16" x14ac:dyDescent="0.25">
      <c r="A41" s="85"/>
      <c r="B41" s="85"/>
      <c r="C41" s="85"/>
      <c r="D41" s="85"/>
      <c r="E41" s="85"/>
      <c r="F41" s="85"/>
      <c r="G41" s="85"/>
      <c r="H41" s="85"/>
      <c r="I41" s="31"/>
      <c r="J41" s="87"/>
      <c r="K41" s="87"/>
      <c r="L41" s="87"/>
      <c r="M41" s="94"/>
    </row>
    <row r="42" ht="13.8" customHeight="1" spans="1:16" x14ac:dyDescent="0.25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94"/>
    </row>
    <row r="43" ht="13.8" customHeight="1" spans="1:16" x14ac:dyDescent="0.25">
      <c r="A43" s="94"/>
      <c r="B43" s="94"/>
      <c r="C43" s="87" t="s">
        <v>356</v>
      </c>
      <c r="D43" s="87"/>
      <c r="E43" s="87" t="s">
        <v>240</v>
      </c>
      <c r="F43" s="87"/>
      <c r="G43" s="87"/>
      <c r="H43" s="87"/>
      <c r="I43" s="87"/>
      <c r="J43" s="87"/>
      <c r="K43" s="87"/>
      <c r="L43" s="87"/>
      <c r="M43" s="87"/>
    </row>
    <row r="44" ht="13.8" customHeight="1" spans="1:16" x14ac:dyDescent="0.25">
      <c r="A44" s="94"/>
      <c r="B44" s="94"/>
      <c r="C44" s="87" t="s">
        <v>357</v>
      </c>
      <c r="D44" s="87"/>
      <c r="E44" s="87" t="s">
        <v>242</v>
      </c>
      <c r="F44" s="87"/>
      <c r="G44" s="87"/>
      <c r="H44" s="87"/>
      <c r="I44" s="87"/>
      <c r="J44" s="87"/>
      <c r="K44" s="87"/>
      <c r="L44" s="87"/>
      <c r="M44" s="87"/>
    </row>
    <row r="45" ht="13.8" customHeight="1" spans="1:16" x14ac:dyDescent="0.25">
      <c r="A45" s="94"/>
      <c r="B45" s="94"/>
      <c r="C45" s="87" t="s">
        <v>243</v>
      </c>
      <c r="D45" s="87"/>
      <c r="E45" s="87" t="s">
        <v>244</v>
      </c>
      <c r="F45" s="87"/>
      <c r="G45" s="87"/>
      <c r="H45" s="87"/>
      <c r="I45" s="87"/>
      <c r="J45" s="87"/>
      <c r="K45" s="87"/>
      <c r="L45" s="87"/>
      <c r="M45" s="87"/>
    </row>
    <row r="46" spans="1:16" x14ac:dyDescent="0.2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</sheetData>
  <mergeCells count="8">
    <mergeCell ref="A42:C42"/>
    <mergeCell ref="D42:L42"/>
    <mergeCell ref="C43:D43"/>
    <mergeCell ref="E43:M43"/>
    <mergeCell ref="C44:D44"/>
    <mergeCell ref="E44:M44"/>
    <mergeCell ref="C45:D45"/>
    <mergeCell ref="E45:M45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workbookViewId="0" zoomScale="100" zoomScaleNormal="100">
      <selection activeCell="A5" sqref="A5"/>
    </sheetView>
  </sheetViews>
  <sheetFormatPr defaultRowHeight="0" outlineLevelRow="0" outlineLevelCol="0" x14ac:dyDescent="0" customHeight="1"/>
  <cols>
    <col min="1" max="1" width="17.5546875" customWidth="1"/>
    <col min="2" max="2" width="18.109375" customWidth="1"/>
    <col min="3" max="3" width="12.6640625" customWidth="1"/>
    <col min="4" max="4" width="15.33203125" customWidth="1"/>
    <col min="5" max="5" width="12.88671875" customWidth="1"/>
    <col min="6" max="6" width="15.44140625" customWidth="1"/>
    <col min="7" max="7" width="12.33203125" customWidth="1"/>
    <col min="8" max="8" width="8.88671875" customWidth="1"/>
    <col min="9" max="9" width="11.109375" customWidth="1"/>
    <col min="10" max="10" width="15.88671875" customWidth="1"/>
    <col min="11" max="11" width="13.88671875" customWidth="1"/>
    <col min="12" max="257" width="18.109375" customWidth="1"/>
  </cols>
  <sheetData>
    <row r="1" spans="1:13" x14ac:dyDescent="0.25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31"/>
      <c r="M1" s="31"/>
    </row>
    <row r="2" spans="1:13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31"/>
      <c r="M2" s="31"/>
    </row>
    <row r="3" ht="14.4" customHeight="1" spans="1:13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31"/>
      <c r="M3" s="31"/>
    </row>
    <row r="4" ht="14.4" customHeight="1" spans="1:13" x14ac:dyDescent="0.25">
      <c r="A4" s="101" t="s">
        <v>358</v>
      </c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31"/>
      <c r="M4" s="31"/>
    </row>
    <row r="5" spans="1:13" x14ac:dyDescent="0.25">
      <c r="A5" s="104" t="str">
        <f>+Activo!B3</f>
        <v>Al 31 de Julio 2026</v>
      </c>
      <c r="B5" s="87"/>
      <c r="C5" s="87"/>
      <c r="D5" s="87"/>
      <c r="E5" s="87"/>
      <c r="F5" s="87"/>
      <c r="G5" s="87"/>
      <c r="H5" s="87"/>
      <c r="I5" s="87"/>
      <c r="J5" s="87"/>
      <c r="K5" s="105"/>
      <c r="L5" s="31"/>
      <c r="M5" s="31"/>
    </row>
    <row r="6" spans="1:13" x14ac:dyDescent="0.25">
      <c r="A6" s="106" t="s">
        <v>16</v>
      </c>
      <c r="B6" s="85"/>
      <c r="C6" s="85"/>
      <c r="D6" s="85"/>
      <c r="E6" s="85"/>
      <c r="F6" s="85"/>
      <c r="G6" s="85"/>
      <c r="H6" s="85"/>
      <c r="I6" s="85"/>
      <c r="J6" s="85"/>
      <c r="K6" s="107"/>
      <c r="L6" s="31"/>
      <c r="M6" s="31"/>
    </row>
    <row r="7" spans="1:13" x14ac:dyDescent="0.25">
      <c r="A7" s="108" t="s">
        <v>16</v>
      </c>
      <c r="B7" s="109"/>
      <c r="C7" s="109"/>
      <c r="D7" s="109"/>
      <c r="E7" s="109"/>
      <c r="F7" s="109"/>
      <c r="G7" s="109"/>
      <c r="H7" s="109"/>
      <c r="I7" s="109"/>
      <c r="J7" s="109"/>
      <c r="K7" s="110"/>
      <c r="L7" s="31"/>
      <c r="M7" s="31"/>
    </row>
    <row r="8" spans="1:13" x14ac:dyDescent="0.25">
      <c r="A8" s="111" t="s">
        <v>16</v>
      </c>
      <c r="B8" s="112" t="s">
        <v>359</v>
      </c>
      <c r="C8" s="113"/>
      <c r="D8" s="113"/>
      <c r="E8" s="114"/>
      <c r="F8" s="112" t="s">
        <v>360</v>
      </c>
      <c r="G8" s="113"/>
      <c r="H8" s="113"/>
      <c r="I8" s="113"/>
      <c r="J8" s="114"/>
      <c r="K8" s="115"/>
      <c r="L8" s="31"/>
      <c r="M8" s="31"/>
    </row>
    <row r="9" spans="1:13" x14ac:dyDescent="0.25">
      <c r="A9" s="116"/>
      <c r="B9" s="117" t="s">
        <v>361</v>
      </c>
      <c r="C9" s="117"/>
      <c r="D9" s="117"/>
      <c r="E9" s="117" t="s">
        <v>361</v>
      </c>
      <c r="F9" s="117" t="s">
        <v>362</v>
      </c>
      <c r="G9" s="117"/>
      <c r="H9" s="117" t="s">
        <v>363</v>
      </c>
      <c r="I9" s="117"/>
      <c r="J9" s="117" t="s">
        <v>364</v>
      </c>
      <c r="K9" s="118" t="s">
        <v>365</v>
      </c>
      <c r="L9" s="31"/>
      <c r="M9" s="31"/>
    </row>
    <row r="10" spans="1:13" x14ac:dyDescent="0.25">
      <c r="A10" s="119" t="s">
        <v>260</v>
      </c>
      <c r="B10" s="117" t="s">
        <v>366</v>
      </c>
      <c r="C10" s="117" t="s">
        <v>367</v>
      </c>
      <c r="D10" s="117" t="s">
        <v>368</v>
      </c>
      <c r="E10" s="117" t="s">
        <v>369</v>
      </c>
      <c r="F10" s="117" t="s">
        <v>370</v>
      </c>
      <c r="G10" s="117" t="s">
        <v>371</v>
      </c>
      <c r="H10" s="117" t="s">
        <v>372</v>
      </c>
      <c r="I10" s="117" t="s">
        <v>373</v>
      </c>
      <c r="J10" s="117" t="s">
        <v>374</v>
      </c>
      <c r="K10" s="118" t="s">
        <v>375</v>
      </c>
      <c r="L10" s="31"/>
      <c r="M10" s="31"/>
    </row>
    <row r="11" spans="1:13" x14ac:dyDescent="0.25">
      <c r="A11" s="116"/>
      <c r="B11" s="117" t="s">
        <v>376</v>
      </c>
      <c r="C11" s="117"/>
      <c r="D11" s="117"/>
      <c r="E11" s="117" t="s">
        <v>376</v>
      </c>
      <c r="F11" s="117" t="s">
        <v>376</v>
      </c>
      <c r="G11" s="117"/>
      <c r="H11" s="117"/>
      <c r="I11" s="117"/>
      <c r="J11" s="117" t="s">
        <v>376</v>
      </c>
      <c r="K11" s="120">
        <f>+EESP!F13</f>
        <v>46234</v>
      </c>
      <c r="L11" s="31"/>
      <c r="M11" s="31"/>
    </row>
    <row r="12" spans="1:13" x14ac:dyDescent="0.25">
      <c r="A12" s="116"/>
      <c r="B12" s="117" t="s">
        <v>280</v>
      </c>
      <c r="C12" s="117" t="s">
        <v>280</v>
      </c>
      <c r="D12" s="117" t="s">
        <v>280</v>
      </c>
      <c r="E12" s="117" t="s">
        <v>280</v>
      </c>
      <c r="F12" s="117" t="s">
        <v>280</v>
      </c>
      <c r="G12" s="117" t="s">
        <v>280</v>
      </c>
      <c r="H12" s="117"/>
      <c r="I12" s="117" t="s">
        <v>280</v>
      </c>
      <c r="J12" s="117" t="s">
        <v>280</v>
      </c>
      <c r="K12" s="118" t="s">
        <v>280</v>
      </c>
      <c r="L12" s="31"/>
      <c r="M12" s="31"/>
    </row>
    <row r="13" spans="1:13" x14ac:dyDescent="0.25">
      <c r="A13" s="121"/>
      <c r="B13" s="122"/>
      <c r="C13" s="122"/>
      <c r="D13" s="122"/>
      <c r="E13" s="122"/>
      <c r="F13" s="122"/>
      <c r="G13" s="122"/>
      <c r="H13" s="122"/>
      <c r="I13" s="122"/>
      <c r="J13" s="122"/>
      <c r="K13" s="123"/>
      <c r="L13" s="31"/>
      <c r="M13" s="31"/>
    </row>
    <row r="14" spans="1:13" x14ac:dyDescent="0.25">
      <c r="A14" s="116" t="s">
        <v>377</v>
      </c>
      <c r="B14" s="124">
        <f>+SALDOS!D29</f>
        <v>2572.141176775565</v>
      </c>
      <c r="C14" s="124">
        <f>+E14-B14</f>
        <v>0</v>
      </c>
      <c r="D14" s="124">
        <v>0</v>
      </c>
      <c r="E14" s="124">
        <f>+B14</f>
        <v>2572.141176775565</v>
      </c>
      <c r="F14" s="124">
        <f>+J14-I14</f>
        <v>2572.141176775565</v>
      </c>
      <c r="G14" s="124">
        <v>0</v>
      </c>
      <c r="H14" s="125">
        <v>0.2</v>
      </c>
      <c r="I14" s="124">
        <v>0</v>
      </c>
      <c r="J14" s="124">
        <f>-SALDOS!F39</f>
        <v>2572.141176775565</v>
      </c>
      <c r="K14" s="126">
        <f>+E14-J14</f>
        <v>0</v>
      </c>
      <c r="L14" s="72"/>
      <c r="M14" s="72"/>
    </row>
    <row r="15" spans="1:13" x14ac:dyDescent="0.25">
      <c r="A15" s="116" t="s">
        <v>378</v>
      </c>
      <c r="B15" s="124">
        <f>+SALDOS!D31+SALDOS!D32</f>
        <v>1191.963931526385</v>
      </c>
      <c r="C15" s="124">
        <f>+E15-B15</f>
        <v>0</v>
      </c>
      <c r="D15" s="124">
        <v>0</v>
      </c>
      <c r="E15" s="124">
        <f>+B15</f>
        <v>1191.963931526385</v>
      </c>
      <c r="F15" s="124">
        <f>+J15-I15</f>
        <v>1191.963931526385</v>
      </c>
      <c r="G15" s="124">
        <v>0</v>
      </c>
      <c r="H15" s="125">
        <v>0.2</v>
      </c>
      <c r="I15" s="124">
        <v>0</v>
      </c>
      <c r="J15" s="124">
        <f>-SALDOS!F43</f>
        <v>1191.963931526385</v>
      </c>
      <c r="K15" s="126">
        <f>+E15-J15</f>
        <v>0</v>
      </c>
      <c r="L15" s="72"/>
      <c r="M15" s="72"/>
    </row>
    <row r="16" spans="1:13" x14ac:dyDescent="0.25">
      <c r="A16" s="116" t="s">
        <v>379</v>
      </c>
      <c r="B16" s="124">
        <f>+SALDOS!D33</f>
        <v>65735.0037196125</v>
      </c>
      <c r="C16" s="124">
        <f>+E16-B16</f>
        <v>0</v>
      </c>
      <c r="D16" s="124">
        <v>0</v>
      </c>
      <c r="E16" s="124">
        <f>+B16</f>
        <v>65735.0037196125</v>
      </c>
      <c r="F16" s="124">
        <f>+J16-I16</f>
        <v>58793.58285383134</v>
      </c>
      <c r="G16" s="124">
        <v>0</v>
      </c>
      <c r="H16" s="125">
        <v>0.2</v>
      </c>
      <c r="I16" s="124">
        <v>487.6</v>
      </c>
      <c r="J16" s="124">
        <f>-SALDOS!F44</f>
        <v>59281.18285383134</v>
      </c>
      <c r="K16" s="126">
        <f>+E16-J16</f>
        <v>6453.820865781163</v>
      </c>
      <c r="L16" s="72"/>
      <c r="M16" s="72"/>
    </row>
    <row r="17" spans="1:13" x14ac:dyDescent="0.25">
      <c r="A17" s="116" t="s">
        <v>380</v>
      </c>
      <c r="B17" s="124">
        <f>+SALDOS!D34</f>
        <v>9663.398637745217</v>
      </c>
      <c r="C17" s="124">
        <f>+E17-B17</f>
        <v>0</v>
      </c>
      <c r="D17" s="124">
        <v>0</v>
      </c>
      <c r="E17" s="124">
        <f>+B17</f>
        <v>9663.398637745217</v>
      </c>
      <c r="F17" s="124">
        <f>+J17-I17</f>
        <v>9663.398637745217</v>
      </c>
      <c r="G17" s="124">
        <v>0</v>
      </c>
      <c r="H17" s="125">
        <v>0.2</v>
      </c>
      <c r="I17" s="124">
        <v>0</v>
      </c>
      <c r="J17" s="124">
        <f>-SALDOS!F41</f>
        <v>9663.398637745217</v>
      </c>
      <c r="K17" s="126">
        <f>+E17-J17</f>
        <v>0</v>
      </c>
      <c r="L17" s="72"/>
      <c r="M17" s="72"/>
    </row>
    <row r="18" spans="1:13" x14ac:dyDescent="0.25">
      <c r="A18" s="116" t="s">
        <v>381</v>
      </c>
      <c r="B18" s="124">
        <f>+SALDOS!D30</f>
        <v>9937.407772881586</v>
      </c>
      <c r="C18" s="124">
        <f>+E18-B18</f>
        <v>0</v>
      </c>
      <c r="D18" s="124">
        <v>0</v>
      </c>
      <c r="E18" s="124">
        <f>+B18</f>
        <v>9937.407772881586</v>
      </c>
      <c r="F18" s="124">
        <f>+J18-I18</f>
        <v>9398.461128599676</v>
      </c>
      <c r="G18" s="124">
        <v>0</v>
      </c>
      <c r="H18" s="125">
        <v>0.1</v>
      </c>
      <c r="I18" s="124">
        <v>21</v>
      </c>
      <c r="J18" s="124">
        <f>-SALDOS!F40</f>
        <v>9419.461128599676</v>
      </c>
      <c r="K18" s="126">
        <f>+E18-J18</f>
        <v>517.9466442819103</v>
      </c>
      <c r="L18" s="72"/>
      <c r="M18" s="72"/>
    </row>
    <row r="19" spans="1:13" x14ac:dyDescent="0.25">
      <c r="A19" s="116" t="s">
        <v>382</v>
      </c>
      <c r="B19" s="124">
        <f>+SALDOS!D35+SALDOS!D36</f>
        <v>33885.505210697884</v>
      </c>
      <c r="C19" s="124">
        <f>+E19-B19</f>
        <v>0</v>
      </c>
      <c r="D19" s="124">
        <v>0</v>
      </c>
      <c r="E19" s="124">
        <f>+B19</f>
        <v>33885.505210697884</v>
      </c>
      <c r="F19" s="124">
        <f>+J19-I19</f>
        <v>33885.50521069789</v>
      </c>
      <c r="G19" s="124">
        <v>0</v>
      </c>
      <c r="H19" s="125">
        <v>0.1</v>
      </c>
      <c r="I19" s="124">
        <v>0</v>
      </c>
      <c r="J19" s="124">
        <f>-SALDOS!F42</f>
        <v>33885.50521069789</v>
      </c>
      <c r="K19" s="126">
        <f>+E19-J19</f>
        <v>0</v>
      </c>
      <c r="L19" s="72"/>
      <c r="M19" s="72"/>
    </row>
    <row r="20" spans="1:13" x14ac:dyDescent="0.25">
      <c r="A20" s="116" t="s">
        <v>383</v>
      </c>
      <c r="B20" s="124">
        <f>+SALDOS!D38</f>
        <v>567044.3127107738</v>
      </c>
      <c r="C20" s="124">
        <f>+E20-B20</f>
        <v>0</v>
      </c>
      <c r="D20" s="124">
        <v>0</v>
      </c>
      <c r="E20" s="124">
        <f>+B20</f>
        <v>567044.3127107738</v>
      </c>
      <c r="F20" s="124">
        <f>+J20-I20</f>
        <v>296166.07887410175</v>
      </c>
      <c r="G20" s="124">
        <v>0</v>
      </c>
      <c r="H20" s="125">
        <v>0.2</v>
      </c>
      <c r="I20" s="124">
        <v>13581.9</v>
      </c>
      <c r="J20" s="124">
        <f>-SALDOS!F45</f>
        <v>309747.97887410177</v>
      </c>
      <c r="K20" s="126">
        <f>+E20-J20</f>
        <v>257296.333836672</v>
      </c>
      <c r="L20" s="72"/>
      <c r="M20" s="72"/>
    </row>
    <row r="21" ht="14.4" customHeight="1" spans="1:13" x14ac:dyDescent="0.25">
      <c r="A21" s="127" t="str">
        <f>+EEPN!B17</f>
        <v>Total al 31.7.2026</v>
      </c>
      <c r="B21" s="128">
        <f>SUM(B14:B20)</f>
        <v>690029.7331600129</v>
      </c>
      <c r="C21" s="128">
        <f>SUM(C14:C20)</f>
        <v>0</v>
      </c>
      <c r="D21" s="128">
        <f>SUM(D14:D20)</f>
        <v>0</v>
      </c>
      <c r="E21" s="128">
        <f>SUM(E14:E20)</f>
        <v>690029.7331600129</v>
      </c>
      <c r="F21" s="128">
        <f>SUM(F14:F20)</f>
        <v>411671.13181327784</v>
      </c>
      <c r="G21" s="128">
        <f>SUM(G14:G20)</f>
        <v>0</v>
      </c>
      <c r="H21" s="128"/>
      <c r="I21" s="128">
        <f>SUM(I14:I20)</f>
        <v>14090.5</v>
      </c>
      <c r="J21" s="128">
        <f>SUM(J14:J20)</f>
        <v>425761.63181327784</v>
      </c>
      <c r="K21" s="129">
        <f>SUM(K14:K20)</f>
        <v>264268.1013467351</v>
      </c>
      <c r="L21" s="31"/>
      <c r="M21" s="31"/>
    </row>
    <row r="22" ht="14.4" customHeight="1" spans="1:13" x14ac:dyDescent="0.25">
      <c r="A22" s="85"/>
      <c r="B22" s="89"/>
      <c r="C22" s="89"/>
      <c r="D22" s="85"/>
      <c r="E22" s="85"/>
      <c r="F22" s="89"/>
      <c r="G22" s="85"/>
      <c r="H22" s="85"/>
      <c r="I22" s="89"/>
      <c r="J22" s="89"/>
      <c r="K22" s="89"/>
      <c r="L22" s="31"/>
      <c r="M22" s="31"/>
    </row>
    <row r="23" spans="1:13" x14ac:dyDescent="0.25">
      <c r="A23" s="85" t="s">
        <v>237</v>
      </c>
      <c r="B23" s="85"/>
      <c r="C23" s="85"/>
      <c r="D23" s="85"/>
      <c r="E23" s="89"/>
      <c r="F23" s="89"/>
      <c r="G23" s="89"/>
      <c r="H23" s="85"/>
      <c r="I23" s="89"/>
      <c r="J23" s="89"/>
      <c r="K23" s="89"/>
      <c r="L23" s="31"/>
      <c r="M23" s="31"/>
    </row>
    <row r="24" spans="1:13" x14ac:dyDescent="0.25">
      <c r="A24" s="85" t="s">
        <v>238</v>
      </c>
      <c r="B24" s="85"/>
      <c r="C24" s="85"/>
      <c r="D24" s="89"/>
      <c r="E24" s="85"/>
      <c r="F24" s="89"/>
      <c r="G24" s="89"/>
      <c r="H24" s="85"/>
      <c r="I24" s="89"/>
      <c r="J24" s="89"/>
      <c r="K24" s="89"/>
      <c r="L24" s="31"/>
      <c r="M24" s="31"/>
    </row>
    <row r="25" spans="1:13" x14ac:dyDescent="0.25">
      <c r="A25" s="85"/>
      <c r="B25" s="89"/>
      <c r="C25" s="89"/>
      <c r="D25" s="89"/>
      <c r="E25" s="31"/>
      <c r="F25" s="89"/>
      <c r="G25" s="89"/>
      <c r="H25" s="89"/>
      <c r="I25" s="89"/>
      <c r="J25" s="89"/>
      <c r="K25" s="89"/>
      <c r="L25" s="31"/>
      <c r="M25" s="31"/>
    </row>
    <row r="26" spans="1:13" x14ac:dyDescent="0.25">
      <c r="A26" s="85"/>
      <c r="B26" s="85"/>
      <c r="C26" s="85"/>
      <c r="D26" s="89"/>
      <c r="E26" s="85"/>
      <c r="F26" s="85"/>
      <c r="G26" s="85"/>
      <c r="H26" s="85"/>
      <c r="I26" s="85"/>
      <c r="J26" s="85"/>
      <c r="K26" s="89"/>
      <c r="L26" s="31"/>
      <c r="M26" s="31"/>
    </row>
    <row r="27" spans="1:13" x14ac:dyDescent="0.25">
      <c r="A27" s="85"/>
      <c r="B27" s="85"/>
      <c r="C27" s="87" t="str">
        <f>+EEPN!C25</f>
        <v>Miguel Ángel Alonso</v>
      </c>
      <c r="D27" s="87"/>
      <c r="E27" s="85"/>
      <c r="F27" s="87"/>
      <c r="G27" s="87"/>
      <c r="H27" s="87"/>
      <c r="I27" s="87" t="str">
        <f>+EEPN!H25</f>
        <v>Tomas Furlong</v>
      </c>
      <c r="J27" s="85"/>
      <c r="K27" s="85"/>
      <c r="L27" s="31"/>
      <c r="M27" s="31"/>
    </row>
    <row r="28" spans="1:13" x14ac:dyDescent="0.25">
      <c r="A28" s="85"/>
      <c r="B28" s="85"/>
      <c r="C28" s="87" t="str">
        <f>+EEPN!C26</f>
        <v>Contador Público (UCA)</v>
      </c>
      <c r="D28" s="87"/>
      <c r="E28" s="85"/>
      <c r="F28" s="87"/>
      <c r="G28" s="87"/>
      <c r="H28" s="87"/>
      <c r="I28" s="87" t="str">
        <f>+EEPN!H26</f>
        <v>Transportes Furlong S.A.</v>
      </c>
      <c r="J28" s="85"/>
      <c r="K28" s="85"/>
      <c r="L28" s="31"/>
      <c r="M28" s="31"/>
    </row>
    <row r="29" spans="1:13" x14ac:dyDescent="0.25">
      <c r="A29" s="85"/>
      <c r="B29" s="85"/>
      <c r="C29" s="87" t="str">
        <f>+EEPN!C27</f>
        <v>C.P.C.E.C.A.B.A. Tº176 Fº3</v>
      </c>
      <c r="D29" s="87"/>
      <c r="E29" s="87"/>
      <c r="F29" s="87"/>
      <c r="G29" s="87"/>
      <c r="H29" s="87"/>
      <c r="I29" s="87" t="str">
        <f>+EEPN!H27</f>
        <v>Apoderado</v>
      </c>
      <c r="J29" s="85"/>
      <c r="K29" s="85"/>
      <c r="L29" s="31"/>
      <c r="M29" s="31"/>
    </row>
    <row r="30" spans="1:13" x14ac:dyDescent="0.25">
      <c r="A30" s="85"/>
      <c r="B30" s="85"/>
      <c r="C30" s="87"/>
      <c r="D30" s="87"/>
      <c r="E30" s="85"/>
      <c r="F30" s="85"/>
      <c r="G30" s="85"/>
      <c r="H30" s="87"/>
      <c r="I30" s="85"/>
      <c r="J30" s="85"/>
      <c r="K30" s="85"/>
      <c r="L30" s="31"/>
      <c r="M30" s="31"/>
    </row>
    <row r="31" spans="1:13" x14ac:dyDescent="0.25">
      <c r="A31" s="85"/>
      <c r="B31" s="85"/>
      <c r="C31" s="87"/>
      <c r="D31" s="87"/>
      <c r="E31" s="85"/>
      <c r="F31" s="85"/>
      <c r="G31" s="85"/>
      <c r="H31" s="87"/>
      <c r="I31" s="85"/>
      <c r="J31" s="85"/>
      <c r="K31" s="85"/>
      <c r="L31" s="31"/>
      <c r="M31" s="31"/>
    </row>
  </sheetData>
  <mergeCells count="4">
    <mergeCell ref="A4:K4"/>
    <mergeCell ref="A5:K5"/>
    <mergeCell ref="B8:E8"/>
    <mergeCell ref="F8:J8"/>
  </mergeCells>
  <pageMargins left="0.34" right="0.23" top="1" bottom="0.66" header="0.65" footer="0"/>
  <pageSetup paperSize="9" orientation="landscape" horizontalDpi="1200" verticalDpi="1200" scale="94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8"/>
  <sheetViews>
    <sheetView workbookViewId="0" zoomScale="100" zoomScaleNormal="100">
      <selection activeCell="B9" sqref="B9"/>
    </sheetView>
  </sheetViews>
  <sheetFormatPr defaultRowHeight="0" outlineLevelRow="0" outlineLevelCol="0" x14ac:dyDescent="0" customHeight="1"/>
  <cols>
    <col min="1" max="1" width="1.44140625" customWidth="1"/>
    <col min="2" max="2" width="36.33203125" customWidth="1"/>
    <col min="3" max="3" width="15.109375" customWidth="1"/>
    <col min="4" max="4" width="16.33203125" customWidth="1"/>
    <col min="5" max="5" width="17.5546875" customWidth="1"/>
    <col min="6" max="6" width="13.33203125" customWidth="1"/>
    <col min="7" max="7" width="9" hidden="1" customWidth="1"/>
    <col min="8" max="257" width="9.109375" customWidth="1"/>
  </cols>
  <sheetData>
    <row r="1" spans="1:11" x14ac:dyDescent="0.25">
      <c r="A1" s="85"/>
      <c r="B1" s="85" t="s">
        <v>16</v>
      </c>
      <c r="C1" s="85"/>
      <c r="D1" s="85"/>
      <c r="E1" s="85"/>
      <c r="F1" s="85"/>
      <c r="G1" s="31" t="s">
        <v>384</v>
      </c>
      <c r="H1" s="31"/>
      <c r="I1" s="31"/>
      <c r="J1" s="31"/>
      <c r="K1" s="31"/>
    </row>
    <row r="2" spans="1:11" x14ac:dyDescent="0.25">
      <c r="A2" s="85" t="s">
        <v>16</v>
      </c>
      <c r="B2" s="85" t="s">
        <v>16</v>
      </c>
      <c r="C2" s="85"/>
      <c r="D2" s="85"/>
      <c r="E2" s="85"/>
      <c r="F2" s="85"/>
      <c r="G2" s="31"/>
      <c r="H2" s="31"/>
      <c r="I2" s="31"/>
      <c r="J2" s="31"/>
      <c r="K2" s="31"/>
    </row>
    <row r="3" spans="1:11" x14ac:dyDescent="0.25">
      <c r="A3" s="85"/>
      <c r="B3" s="85"/>
      <c r="C3" s="85"/>
      <c r="D3" s="85"/>
      <c r="E3" s="85"/>
      <c r="F3" s="85"/>
      <c r="G3" s="31"/>
      <c r="H3" s="31"/>
      <c r="I3" s="31"/>
      <c r="J3" s="31"/>
      <c r="K3" s="31"/>
    </row>
    <row r="4" spans="1:11" x14ac:dyDescent="0.25">
      <c r="A4" s="85"/>
      <c r="B4" s="85"/>
      <c r="C4" s="85"/>
      <c r="D4" s="85"/>
      <c r="E4" s="85"/>
      <c r="F4" s="85"/>
      <c r="G4" s="31"/>
      <c r="H4" s="31"/>
      <c r="I4" s="31"/>
      <c r="J4" s="31"/>
      <c r="K4" s="31"/>
    </row>
    <row r="5" spans="1:11" x14ac:dyDescent="0.25">
      <c r="A5" s="84" t="s">
        <v>385</v>
      </c>
      <c r="B5" s="85"/>
      <c r="C5" s="85"/>
      <c r="D5" s="85"/>
      <c r="E5" s="85"/>
      <c r="F5" s="85" t="s">
        <v>386</v>
      </c>
      <c r="G5" s="31"/>
      <c r="H5" s="31"/>
      <c r="I5" s="31"/>
      <c r="J5" s="31"/>
      <c r="K5" s="31"/>
    </row>
    <row r="6" spans="1:11" x14ac:dyDescent="0.25">
      <c r="A6" s="85" t="str">
        <f>+Activo!B3</f>
        <v>Al 31 de Julio 2026</v>
      </c>
      <c r="B6" s="85"/>
      <c r="C6" s="85"/>
      <c r="D6" s="89"/>
      <c r="E6" s="85"/>
      <c r="F6" s="85"/>
      <c r="G6" s="31"/>
      <c r="H6" s="31"/>
      <c r="I6" s="31"/>
      <c r="J6" s="31"/>
      <c r="K6" s="31"/>
    </row>
    <row r="7" ht="14.4" customHeight="1" spans="1:11" x14ac:dyDescent="0.25">
      <c r="A7" s="85"/>
      <c r="B7" s="85" t="s">
        <v>16</v>
      </c>
      <c r="C7" s="85"/>
      <c r="D7" s="85"/>
      <c r="E7" s="85"/>
      <c r="F7" s="85"/>
      <c r="G7" s="31"/>
      <c r="H7" s="31"/>
      <c r="I7" s="31"/>
      <c r="J7" s="31"/>
      <c r="K7" s="31"/>
    </row>
    <row r="8" ht="14.4" customHeight="1" spans="1:11" x14ac:dyDescent="0.25">
      <c r="A8" s="130" t="s">
        <v>16</v>
      </c>
      <c r="B8" s="131"/>
      <c r="C8" s="132" t="s">
        <v>387</v>
      </c>
      <c r="D8" s="132" t="s">
        <v>388</v>
      </c>
      <c r="E8" s="132" t="s">
        <v>389</v>
      </c>
      <c r="F8" s="133" t="s">
        <v>388</v>
      </c>
      <c r="G8" s="134" t="s">
        <v>387</v>
      </c>
      <c r="H8" s="31"/>
      <c r="I8" s="31"/>
      <c r="J8" s="31"/>
      <c r="K8" s="31"/>
    </row>
    <row r="9" spans="1:11" x14ac:dyDescent="0.25">
      <c r="A9" s="106" t="s">
        <v>16</v>
      </c>
      <c r="B9" s="135" t="s">
        <v>390</v>
      </c>
      <c r="C9" s="117" t="s">
        <v>391</v>
      </c>
      <c r="D9" s="117" t="s">
        <v>392</v>
      </c>
      <c r="E9" s="117" t="s">
        <v>392</v>
      </c>
      <c r="F9" s="118"/>
      <c r="G9" s="136" t="s">
        <v>391</v>
      </c>
      <c r="H9" s="31"/>
      <c r="I9" s="31"/>
      <c r="J9" s="31"/>
      <c r="K9" s="31"/>
    </row>
    <row r="10" spans="1:11" x14ac:dyDescent="0.25">
      <c r="A10" s="108"/>
      <c r="B10" s="109"/>
      <c r="C10" s="137">
        <f>+EESP!F13</f>
        <v>46234</v>
      </c>
      <c r="D10" s="138" t="s">
        <v>393</v>
      </c>
      <c r="E10" s="138" t="s">
        <v>394</v>
      </c>
      <c r="F10" s="139" t="s">
        <v>395</v>
      </c>
      <c r="G10" s="140" t="s">
        <v>396</v>
      </c>
      <c r="H10" s="31"/>
      <c r="I10" s="31"/>
      <c r="J10" s="31"/>
      <c r="K10" s="31"/>
    </row>
    <row r="11" spans="1:11" x14ac:dyDescent="0.25">
      <c r="A11" s="106"/>
      <c r="B11" s="85" t="s">
        <v>397</v>
      </c>
      <c r="C11" s="124">
        <f>SUM(D11:F11)</f>
        <v>63260.99</v>
      </c>
      <c r="D11" s="141">
        <f>+SALDOS!D134</f>
        <v>63260.99</v>
      </c>
      <c r="E11" s="142">
        <v>0</v>
      </c>
      <c r="F11" s="143">
        <v>0</v>
      </c>
      <c r="G11" s="144"/>
      <c r="H11" s="96"/>
      <c r="I11" s="145"/>
      <c r="J11" s="31"/>
      <c r="K11" s="31"/>
    </row>
    <row r="12" hidden="1" spans="1:11" x14ac:dyDescent="0.25">
      <c r="A12" s="106"/>
      <c r="B12" s="85" t="s">
        <v>398</v>
      </c>
      <c r="C12" s="124">
        <f>SUM(D12:F12)</f>
        <v>0</v>
      </c>
      <c r="D12" s="141">
        <v>0</v>
      </c>
      <c r="E12" s="142">
        <f>+SALDOS!D173</f>
        <v>0</v>
      </c>
      <c r="F12" s="146">
        <v>0</v>
      </c>
      <c r="G12" s="144"/>
      <c r="H12" s="96"/>
      <c r="I12" s="145"/>
      <c r="J12" s="31"/>
      <c r="K12" s="31"/>
    </row>
    <row r="13" spans="1:11" x14ac:dyDescent="0.25">
      <c r="A13" s="106"/>
      <c r="B13" s="85" t="s">
        <v>399</v>
      </c>
      <c r="C13" s="124">
        <f>SUM(D13:F13)</f>
        <v>204.11</v>
      </c>
      <c r="D13" s="141">
        <v>0</v>
      </c>
      <c r="E13" s="142">
        <f>+SALDOS!D139</f>
        <v>204.11</v>
      </c>
      <c r="F13" s="146">
        <v>0</v>
      </c>
      <c r="G13" s="144"/>
      <c r="H13" s="96"/>
      <c r="I13" s="145"/>
      <c r="J13" s="31"/>
      <c r="K13" s="31"/>
    </row>
    <row r="14" hidden="1" spans="1:11" x14ac:dyDescent="0.25">
      <c r="A14" s="106"/>
      <c r="B14" s="85" t="s">
        <v>400</v>
      </c>
      <c r="C14" s="124">
        <f>SUM(D14:F14)</f>
        <v>0</v>
      </c>
      <c r="D14" s="141">
        <v>0</v>
      </c>
      <c r="E14" s="142">
        <f>+SALDOS!D194</f>
        <v>0</v>
      </c>
      <c r="F14" s="146">
        <v>0</v>
      </c>
      <c r="G14" s="144"/>
      <c r="H14" s="96"/>
      <c r="I14" s="145"/>
      <c r="J14" s="31"/>
      <c r="K14" s="31"/>
    </row>
    <row r="15" hidden="1" spans="1:11" x14ac:dyDescent="0.25">
      <c r="A15" s="106"/>
      <c r="B15" s="85" t="s">
        <v>401</v>
      </c>
      <c r="C15" s="124">
        <f>SUM(D15:F15)</f>
        <v>0</v>
      </c>
      <c r="D15" s="141">
        <v>0</v>
      </c>
      <c r="E15" s="141">
        <f>+SALDOS!D172</f>
        <v>0</v>
      </c>
      <c r="F15" s="146">
        <v>0</v>
      </c>
      <c r="G15" s="144"/>
      <c r="H15" s="96"/>
      <c r="I15" s="145"/>
      <c r="J15" s="31"/>
      <c r="K15" s="31"/>
    </row>
    <row r="16" spans="1:11" x14ac:dyDescent="0.25">
      <c r="A16" s="106"/>
      <c r="B16" s="85" t="s">
        <v>402</v>
      </c>
      <c r="C16" s="124">
        <f>SUM(D16:F16)</f>
        <v>4365.51</v>
      </c>
      <c r="D16" s="141">
        <f>+SALDOS!D177+SALDOS!D179+SALDOS!D136-SALDOS!E136</f>
        <v>4365.51</v>
      </c>
      <c r="E16" s="141">
        <v>0</v>
      </c>
      <c r="F16" s="146">
        <v>0</v>
      </c>
      <c r="G16" s="144"/>
      <c r="H16" s="96"/>
      <c r="I16" s="145"/>
      <c r="J16" s="31"/>
      <c r="K16" s="31"/>
    </row>
    <row r="17" hidden="1" spans="1:11" x14ac:dyDescent="0.25">
      <c r="A17" s="106"/>
      <c r="B17" s="85" t="s">
        <v>403</v>
      </c>
      <c r="C17" s="124">
        <f>SUM(D17:F17)</f>
        <v>0</v>
      </c>
      <c r="D17" s="142">
        <v>0</v>
      </c>
      <c r="E17" s="141">
        <f>+SALDOS!D131</f>
        <v>0</v>
      </c>
      <c r="F17" s="146">
        <v>0</v>
      </c>
      <c r="G17" s="144"/>
      <c r="H17" s="96"/>
      <c r="I17" s="145"/>
      <c r="J17" s="31"/>
      <c r="K17" s="31"/>
    </row>
    <row r="18" hidden="1" spans="1:11" x14ac:dyDescent="0.25">
      <c r="A18" s="106"/>
      <c r="B18" s="85" t="s">
        <v>404</v>
      </c>
      <c r="C18" s="124">
        <f>SUM(D18:F18)</f>
        <v>0</v>
      </c>
      <c r="D18" s="141">
        <v>0</v>
      </c>
      <c r="E18" s="141">
        <v>0</v>
      </c>
      <c r="F18" s="146">
        <v>0</v>
      </c>
      <c r="G18" s="144"/>
      <c r="H18" s="96"/>
      <c r="I18" s="145"/>
      <c r="J18" s="31"/>
      <c r="K18" s="31"/>
    </row>
    <row r="19" spans="1:11" x14ac:dyDescent="0.25">
      <c r="A19" s="106"/>
      <c r="B19" s="85" t="s">
        <v>405</v>
      </c>
      <c r="C19" s="124">
        <f>SUM(D19:F19)</f>
        <v>220136.64</v>
      </c>
      <c r="D19" s="142">
        <v>0</v>
      </c>
      <c r="E19" s="141">
        <f>+SALDOS!D129</f>
        <v>220136.64</v>
      </c>
      <c r="F19" s="146">
        <v>0</v>
      </c>
      <c r="G19" s="144"/>
      <c r="H19" s="145"/>
      <c r="I19" s="96"/>
      <c r="J19" s="31"/>
      <c r="K19" s="31"/>
    </row>
    <row r="20" spans="1:11" x14ac:dyDescent="0.25">
      <c r="A20" s="106"/>
      <c r="B20" s="85" t="s">
        <v>406</v>
      </c>
      <c r="C20" s="124">
        <f>SUM(D20:F20)</f>
        <v>27649.36</v>
      </c>
      <c r="D20" s="141">
        <f>-SALDOS!E162</f>
        <v>0</v>
      </c>
      <c r="E20" s="142">
        <f>+SALDOS!D162</f>
        <v>27649.36</v>
      </c>
      <c r="F20" s="146">
        <v>0</v>
      </c>
      <c r="G20" s="144"/>
      <c r="H20" s="145"/>
      <c r="I20" s="96"/>
      <c r="J20" s="31"/>
      <c r="K20" s="31"/>
    </row>
    <row r="21" hidden="1" spans="1:11" x14ac:dyDescent="0.25">
      <c r="A21" s="106"/>
      <c r="B21" s="85" t="s">
        <v>407</v>
      </c>
      <c r="C21" s="124">
        <f>SUM(D21:F21)</f>
        <v>0</v>
      </c>
      <c r="D21" s="141">
        <v>0</v>
      </c>
      <c r="E21" s="142">
        <v>0</v>
      </c>
      <c r="F21" s="146">
        <v>0</v>
      </c>
      <c r="G21" s="144"/>
      <c r="H21" s="145"/>
      <c r="I21" s="96"/>
      <c r="J21" s="31"/>
      <c r="K21" s="31"/>
    </row>
    <row r="22" hidden="1" spans="1:11" x14ac:dyDescent="0.25">
      <c r="A22" s="106"/>
      <c r="B22" s="85" t="s">
        <v>408</v>
      </c>
      <c r="C22" s="124">
        <f>SUM(D22:F22)</f>
        <v>0</v>
      </c>
      <c r="D22" s="141">
        <f>+SALDOS!D193+SALDOS!D188</f>
        <v>0</v>
      </c>
      <c r="E22" s="142">
        <v>0</v>
      </c>
      <c r="F22" s="146">
        <v>0</v>
      </c>
      <c r="G22" s="144"/>
      <c r="H22" s="145"/>
      <c r="I22" s="96"/>
      <c r="J22" s="31"/>
      <c r="K22" s="31"/>
    </row>
    <row r="23" spans="1:11" x14ac:dyDescent="0.25">
      <c r="A23" s="106"/>
      <c r="B23" s="85" t="s">
        <v>409</v>
      </c>
      <c r="C23" s="124">
        <f>SUM(D23:F23)</f>
        <v>18371.81</v>
      </c>
      <c r="D23" s="142">
        <v>0</v>
      </c>
      <c r="E23" s="141">
        <f>+SALDOS!D156+SALDOS!D205</f>
        <v>18371.81</v>
      </c>
      <c r="F23" s="146">
        <v>0</v>
      </c>
      <c r="G23" s="144"/>
      <c r="H23" s="145"/>
      <c r="I23" s="96"/>
      <c r="J23" s="31"/>
      <c r="K23" s="72"/>
    </row>
    <row r="24" spans="1:11" x14ac:dyDescent="0.25">
      <c r="A24" s="106"/>
      <c r="B24" s="85" t="s">
        <v>410</v>
      </c>
      <c r="C24" s="124">
        <f>SUM(D24:F24)</f>
        <v>-3460.15</v>
      </c>
      <c r="D24" s="142">
        <v>0</v>
      </c>
      <c r="E24" s="141">
        <f>+SALDOS!D151+SALDOS!D130-SALDOS!E151</f>
        <v>-3460.15</v>
      </c>
      <c r="F24" s="146">
        <v>0</v>
      </c>
      <c r="G24" s="144"/>
      <c r="H24" s="145"/>
      <c r="I24" s="96"/>
      <c r="J24" s="31"/>
      <c r="K24" s="31"/>
    </row>
    <row r="25" hidden="1" spans="1:11" x14ac:dyDescent="0.25">
      <c r="A25" s="106"/>
      <c r="B25" s="85" t="s">
        <v>411</v>
      </c>
      <c r="C25" s="124">
        <f>SUM(D25:F25)</f>
        <v>0</v>
      </c>
      <c r="D25" s="142">
        <f>SALDOS!D153</f>
        <v>0</v>
      </c>
      <c r="E25" s="141">
        <v>0</v>
      </c>
      <c r="F25" s="146">
        <v>0</v>
      </c>
      <c r="G25" s="144"/>
      <c r="H25" s="145"/>
      <c r="I25" s="96"/>
      <c r="J25" s="31"/>
      <c r="K25" s="31"/>
    </row>
    <row r="26" hidden="1" spans="1:11" x14ac:dyDescent="0.25">
      <c r="A26" s="106"/>
      <c r="B26" s="85" t="s">
        <v>412</v>
      </c>
      <c r="C26" s="124">
        <f>SUM(D26:F26)</f>
        <v>0</v>
      </c>
      <c r="D26" s="142">
        <v>0</v>
      </c>
      <c r="E26" s="141">
        <v>0</v>
      </c>
      <c r="F26" s="146">
        <v>0</v>
      </c>
      <c r="G26" s="144"/>
      <c r="H26" s="145"/>
      <c r="I26" s="96"/>
      <c r="J26" s="31"/>
      <c r="K26" s="31"/>
    </row>
    <row r="27" hidden="1" spans="1:11" x14ac:dyDescent="0.25">
      <c r="A27" s="106"/>
      <c r="B27" s="85" t="s">
        <v>413</v>
      </c>
      <c r="C27" s="124">
        <f>SUM(D27:F27)</f>
        <v>0</v>
      </c>
      <c r="D27" s="142">
        <v>0</v>
      </c>
      <c r="E27" s="141">
        <f>+SALDOS!D189</f>
        <v>0</v>
      </c>
      <c r="F27" s="146">
        <v>0</v>
      </c>
      <c r="G27" s="144"/>
      <c r="H27" s="145"/>
      <c r="I27" s="96"/>
      <c r="J27" s="31"/>
      <c r="K27" s="31"/>
    </row>
    <row r="28" spans="1:11" x14ac:dyDescent="0.25">
      <c r="A28" s="106"/>
      <c r="B28" s="85" t="s">
        <v>414</v>
      </c>
      <c r="C28" s="124">
        <f>SUM(D28:F28)</f>
        <v>388278.17</v>
      </c>
      <c r="D28" s="142">
        <v>0</v>
      </c>
      <c r="E28" s="141">
        <f>+SALDOS!D154</f>
        <v>388278.17</v>
      </c>
      <c r="F28" s="146">
        <v>0</v>
      </c>
      <c r="G28" s="144"/>
      <c r="H28" s="145"/>
      <c r="I28" s="96"/>
      <c r="J28" s="31"/>
      <c r="K28" s="31"/>
    </row>
    <row r="29" spans="1:11" x14ac:dyDescent="0.25">
      <c r="A29" s="106"/>
      <c r="B29" s="85" t="s">
        <v>415</v>
      </c>
      <c r="C29" s="124">
        <f>SUM(D29:F29)</f>
        <v>8627.79</v>
      </c>
      <c r="D29" s="141">
        <v>0</v>
      </c>
      <c r="E29" s="142">
        <f>+SALDOS!D175</f>
        <v>8627.79</v>
      </c>
      <c r="F29" s="147">
        <v>0</v>
      </c>
      <c r="G29" s="144"/>
      <c r="H29" s="145"/>
      <c r="I29" s="96"/>
      <c r="J29" s="31"/>
      <c r="K29" s="31"/>
    </row>
    <row r="30" hidden="1" spans="1:11" x14ac:dyDescent="0.25">
      <c r="A30" s="106"/>
      <c r="B30" s="85" t="s">
        <v>416</v>
      </c>
      <c r="C30" s="124">
        <f>SUM(D30:F30)</f>
        <v>0</v>
      </c>
      <c r="D30" s="141">
        <v>0</v>
      </c>
      <c r="E30" s="142">
        <f>+SALDOS!D168</f>
        <v>0</v>
      </c>
      <c r="F30" s="147">
        <v>0</v>
      </c>
      <c r="G30" s="144"/>
      <c r="H30" s="145"/>
      <c r="I30" s="96"/>
      <c r="J30" s="31"/>
      <c r="K30" s="31"/>
    </row>
    <row r="31" hidden="1" spans="1:11" x14ac:dyDescent="0.25">
      <c r="A31" s="106"/>
      <c r="B31" s="85" t="s">
        <v>417</v>
      </c>
      <c r="C31" s="124">
        <f>SUM(D31:F31)</f>
        <v>0</v>
      </c>
      <c r="D31" s="142">
        <v>0</v>
      </c>
      <c r="E31" s="141">
        <f>+SALDOS!D176</f>
        <v>0</v>
      </c>
      <c r="F31" s="147">
        <v>0</v>
      </c>
      <c r="G31" s="144"/>
      <c r="H31" s="145"/>
      <c r="I31" s="96"/>
      <c r="J31" s="31"/>
      <c r="K31" s="31"/>
    </row>
    <row r="32" spans="1:11" x14ac:dyDescent="0.25">
      <c r="A32" s="106"/>
      <c r="B32" s="85" t="s">
        <v>418</v>
      </c>
      <c r="C32" s="124">
        <f>SUM(D32:F32)</f>
        <v>530.79</v>
      </c>
      <c r="D32" s="142">
        <v>0</v>
      </c>
      <c r="E32" s="141">
        <f>+SALDOS!D161</f>
        <v>530.79</v>
      </c>
      <c r="F32" s="146">
        <v>0</v>
      </c>
      <c r="G32" s="144"/>
      <c r="H32" s="145"/>
      <c r="I32" s="96"/>
      <c r="J32" s="31"/>
      <c r="K32" s="31"/>
    </row>
    <row r="33" hidden="1" spans="1:11" x14ac:dyDescent="0.25">
      <c r="A33" s="106"/>
      <c r="B33" s="85" t="s">
        <v>419</v>
      </c>
      <c r="C33" s="124">
        <f>SUM(D33:F33)</f>
        <v>0</v>
      </c>
      <c r="D33" s="142">
        <v>0</v>
      </c>
      <c r="E33" s="141">
        <f>+SALDOS!D201</f>
        <v>0</v>
      </c>
      <c r="F33" s="146">
        <v>0</v>
      </c>
      <c r="G33" s="144"/>
      <c r="H33" s="145"/>
      <c r="I33" s="96"/>
      <c r="J33" s="31"/>
      <c r="K33" s="31"/>
    </row>
    <row r="34" spans="1:11" x14ac:dyDescent="0.25">
      <c r="A34" s="106"/>
      <c r="B34" s="85" t="s">
        <v>420</v>
      </c>
      <c r="C34" s="124">
        <f>SUM(D34:F34)</f>
        <v>3356.67</v>
      </c>
      <c r="D34" s="142">
        <f>+SALDOS!D167</f>
        <v>3356.67</v>
      </c>
      <c r="E34" s="141">
        <f>-SALDOS!E167</f>
        <v>0</v>
      </c>
      <c r="F34" s="146">
        <v>0</v>
      </c>
      <c r="G34" s="144"/>
      <c r="H34" s="145"/>
      <c r="I34" s="96"/>
      <c r="J34" s="31"/>
      <c r="K34" s="31"/>
    </row>
    <row r="35" spans="1:11" x14ac:dyDescent="0.25">
      <c r="A35" s="106"/>
      <c r="B35" s="85" t="s">
        <v>421</v>
      </c>
      <c r="C35" s="124">
        <f>SUM(D35:F35)</f>
        <v>2519.38</v>
      </c>
      <c r="D35" s="142">
        <v>0</v>
      </c>
      <c r="E35" s="141">
        <f>+SALDOS!D171</f>
        <v>2519.38</v>
      </c>
      <c r="F35" s="146">
        <v>0</v>
      </c>
      <c r="G35" s="144"/>
      <c r="H35" s="145"/>
      <c r="I35" s="96"/>
      <c r="J35" s="31"/>
      <c r="K35" s="31"/>
    </row>
    <row r="36" spans="1:11" x14ac:dyDescent="0.25">
      <c r="A36" s="106"/>
      <c r="B36" s="85" t="s">
        <v>422</v>
      </c>
      <c r="C36" s="124">
        <f>SUM(D36:F36)</f>
        <v>770.8100000000001</v>
      </c>
      <c r="D36" s="142">
        <v>0</v>
      </c>
      <c r="E36" s="141">
        <f>+SALDOS!D170</f>
        <v>770.8100000000001</v>
      </c>
      <c r="F36" s="146">
        <v>0</v>
      </c>
      <c r="G36" s="144"/>
      <c r="H36" s="145"/>
      <c r="I36" s="96"/>
      <c r="J36" s="31"/>
      <c r="K36" s="31"/>
    </row>
    <row r="37" hidden="1" spans="1:11" x14ac:dyDescent="0.25">
      <c r="A37" s="106"/>
      <c r="B37" s="85" t="s">
        <v>423</v>
      </c>
      <c r="C37" s="124">
        <f>SUM(D37:F37)</f>
        <v>0</v>
      </c>
      <c r="D37" s="142">
        <f>+SALDOS!D124</f>
        <v>0</v>
      </c>
      <c r="E37" s="141">
        <v>0</v>
      </c>
      <c r="F37" s="146">
        <v>0</v>
      </c>
      <c r="G37" s="144"/>
      <c r="H37" s="145"/>
      <c r="I37" s="96"/>
      <c r="J37" s="31"/>
      <c r="K37" s="31"/>
    </row>
    <row r="38" hidden="1" spans="1:11" x14ac:dyDescent="0.25">
      <c r="A38" s="106"/>
      <c r="B38" s="85" t="s">
        <v>424</v>
      </c>
      <c r="C38" s="124">
        <f>SUM(D38:F38)</f>
        <v>0</v>
      </c>
      <c r="D38" s="142">
        <v>0</v>
      </c>
      <c r="E38" s="141">
        <v>0</v>
      </c>
      <c r="F38" s="146">
        <v>0</v>
      </c>
      <c r="G38" s="144"/>
      <c r="H38" s="145"/>
      <c r="I38" s="96"/>
      <c r="J38" s="31"/>
      <c r="K38" s="31"/>
    </row>
    <row r="39" spans="1:11" x14ac:dyDescent="0.25">
      <c r="A39" s="106"/>
      <c r="B39" s="85" t="s">
        <v>425</v>
      </c>
      <c r="C39" s="124">
        <f>SUM(D39:F39)</f>
        <v>1118.3600000000001</v>
      </c>
      <c r="D39" s="141">
        <f>+SALDOS!D163</f>
        <v>1118.3600000000001</v>
      </c>
      <c r="E39" s="141">
        <f>-SALDOS!E163</f>
        <v>0</v>
      </c>
      <c r="F39" s="146">
        <v>0</v>
      </c>
      <c r="G39" s="144"/>
      <c r="H39" s="145"/>
      <c r="I39" s="96"/>
      <c r="J39" s="31"/>
      <c r="K39" s="31"/>
    </row>
    <row r="40" hidden="1" spans="1:11" x14ac:dyDescent="0.25">
      <c r="A40" s="106"/>
      <c r="B40" s="85" t="s">
        <v>426</v>
      </c>
      <c r="C40" s="124">
        <f>SUM(D40:F40)</f>
        <v>0</v>
      </c>
      <c r="D40" s="141">
        <v>0</v>
      </c>
      <c r="E40" s="141">
        <f>+SALDOS!D192</f>
        <v>0</v>
      </c>
      <c r="F40" s="146">
        <v>0</v>
      </c>
      <c r="G40" s="144"/>
      <c r="H40" s="145"/>
      <c r="I40" s="96"/>
      <c r="J40" s="31"/>
      <c r="K40" s="31"/>
    </row>
    <row r="41" spans="1:11" x14ac:dyDescent="0.25">
      <c r="A41" s="106"/>
      <c r="B41" s="85" t="s">
        <v>427</v>
      </c>
      <c r="C41" s="124">
        <f>SUM(D41:F41)</f>
        <v>1360.76</v>
      </c>
      <c r="D41" s="141">
        <f>+SALDOS!D202+SALDOS!D133</f>
        <v>1360.76</v>
      </c>
      <c r="E41" s="141">
        <v>0</v>
      </c>
      <c r="F41" s="146">
        <v>0</v>
      </c>
      <c r="G41" s="144"/>
      <c r="H41" s="145"/>
      <c r="I41" s="96"/>
      <c r="J41" s="31"/>
      <c r="K41" s="31"/>
    </row>
    <row r="42" hidden="1" spans="1:11" x14ac:dyDescent="0.25">
      <c r="A42" s="106"/>
      <c r="B42" s="85" t="s">
        <v>428</v>
      </c>
      <c r="C42" s="124">
        <f>SUM(D42:F42)</f>
        <v>0</v>
      </c>
      <c r="D42" s="141">
        <v>0</v>
      </c>
      <c r="E42" s="141">
        <f>+SALDOS!D184</f>
        <v>0</v>
      </c>
      <c r="F42" s="146">
        <v>0</v>
      </c>
      <c r="G42" s="144"/>
      <c r="H42" s="145"/>
      <c r="I42" s="96"/>
      <c r="J42" s="31"/>
      <c r="K42" s="31"/>
    </row>
    <row r="43" spans="1:11" x14ac:dyDescent="0.25">
      <c r="A43" s="106"/>
      <c r="B43" s="85" t="s">
        <v>429</v>
      </c>
      <c r="C43" s="124">
        <f>SUM(D43:F43)</f>
        <v>29891.64</v>
      </c>
      <c r="D43" s="142">
        <v>0</v>
      </c>
      <c r="E43" s="142">
        <v>0</v>
      </c>
      <c r="F43" s="147">
        <f>+SALDOS!D195+SALDOS!D207</f>
        <v>29891.64</v>
      </c>
      <c r="G43" s="144"/>
      <c r="H43" s="145"/>
      <c r="I43" s="96"/>
      <c r="J43" s="31"/>
      <c r="K43" s="31"/>
    </row>
    <row r="44" hidden="1" spans="1:11" x14ac:dyDescent="0.25">
      <c r="A44" s="106"/>
      <c r="B44" s="85" t="s">
        <v>430</v>
      </c>
      <c r="C44" s="124">
        <f>SUM(D44:F44)</f>
        <v>0</v>
      </c>
      <c r="D44" s="141">
        <f>-SALDOS!E131</f>
        <v>0</v>
      </c>
      <c r="E44" s="142">
        <v>0</v>
      </c>
      <c r="F44" s="147">
        <v>0</v>
      </c>
      <c r="G44" s="144"/>
      <c r="H44" s="145"/>
      <c r="I44" s="96"/>
      <c r="J44" s="31"/>
      <c r="K44" s="31"/>
    </row>
    <row r="45" spans="1:11" x14ac:dyDescent="0.25">
      <c r="A45" s="106"/>
      <c r="B45" s="85" t="s">
        <v>431</v>
      </c>
      <c r="C45" s="124">
        <f>SUM(D45:F45)</f>
        <v>31892.49</v>
      </c>
      <c r="D45" s="142">
        <f>+SALDOS!D148</f>
        <v>31892.49</v>
      </c>
      <c r="E45" s="142">
        <v>0</v>
      </c>
      <c r="F45" s="147">
        <v>0</v>
      </c>
      <c r="G45" s="144"/>
      <c r="H45" s="145"/>
      <c r="I45" s="96"/>
      <c r="J45" s="31"/>
      <c r="K45" s="31"/>
    </row>
    <row r="46" hidden="1" spans="1:11" x14ac:dyDescent="0.25">
      <c r="A46" s="106"/>
      <c r="B46" s="85" t="s">
        <v>432</v>
      </c>
      <c r="C46" s="124">
        <f>SUM(D46:F46)</f>
        <v>0</v>
      </c>
      <c r="D46" s="142">
        <f>+SALDOS!D149</f>
        <v>0</v>
      </c>
      <c r="E46" s="142">
        <v>0</v>
      </c>
      <c r="F46" s="147">
        <v>0</v>
      </c>
      <c r="G46" s="144"/>
      <c r="H46" s="145"/>
      <c r="I46" s="96"/>
      <c r="J46" s="31"/>
      <c r="K46" s="31"/>
    </row>
    <row r="47" hidden="1" spans="1:11" x14ac:dyDescent="0.25">
      <c r="A47" s="106"/>
      <c r="B47" s="85" t="s">
        <v>433</v>
      </c>
      <c r="C47" s="124">
        <f>SUM(D47:F47)</f>
        <v>0</v>
      </c>
      <c r="D47" s="141">
        <v>0</v>
      </c>
      <c r="E47" s="142">
        <v>0</v>
      </c>
      <c r="F47" s="147">
        <v>0</v>
      </c>
      <c r="G47" s="144"/>
      <c r="H47" s="145"/>
      <c r="I47" s="96"/>
      <c r="J47" s="31"/>
      <c r="K47" s="31"/>
    </row>
    <row r="48" hidden="1" spans="1:11" x14ac:dyDescent="0.25">
      <c r="A48" s="106"/>
      <c r="B48" s="85" t="s">
        <v>434</v>
      </c>
      <c r="C48" s="124">
        <f>SUM(D48:F48)</f>
        <v>0</v>
      </c>
      <c r="D48" s="142">
        <f>+SALDOS!D147</f>
        <v>0</v>
      </c>
      <c r="E48" s="142">
        <f>+SALDOS!D146</f>
        <v>0</v>
      </c>
      <c r="F48" s="147">
        <v>0</v>
      </c>
      <c r="G48" s="144"/>
      <c r="H48" s="145"/>
      <c r="I48" s="96"/>
      <c r="J48" s="31"/>
      <c r="K48" s="31"/>
    </row>
    <row r="49" spans="1:11" x14ac:dyDescent="0.25">
      <c r="A49" s="106"/>
      <c r="B49" s="85" t="s">
        <v>435</v>
      </c>
      <c r="C49" s="124">
        <f>SUM(D49:F49)</f>
        <v>123093.34</v>
      </c>
      <c r="D49" s="142">
        <v>0</v>
      </c>
      <c r="E49" s="141">
        <f>+SALDOS!D127</f>
        <v>123093.34</v>
      </c>
      <c r="F49" s="146">
        <v>0</v>
      </c>
      <c r="G49" s="144"/>
      <c r="H49" s="145"/>
      <c r="I49" s="96"/>
      <c r="J49" s="31"/>
      <c r="K49" s="31"/>
    </row>
    <row r="50" hidden="1" spans="1:11" x14ac:dyDescent="0.25">
      <c r="A50" s="106"/>
      <c r="B50" s="85" t="s">
        <v>436</v>
      </c>
      <c r="C50" s="124">
        <f>SUM(D50:F50)</f>
        <v>0</v>
      </c>
      <c r="D50" s="141">
        <v>0</v>
      </c>
      <c r="E50" s="142">
        <v>0</v>
      </c>
      <c r="F50" s="146">
        <v>0</v>
      </c>
      <c r="G50" s="144"/>
      <c r="H50" s="145"/>
      <c r="I50" s="96"/>
      <c r="J50" s="31"/>
      <c r="K50" s="31"/>
    </row>
    <row r="51" spans="1:11" x14ac:dyDescent="0.25">
      <c r="A51" s="106"/>
      <c r="B51" s="85" t="s">
        <v>437</v>
      </c>
      <c r="C51" s="124">
        <f>SUM(D51:F51)</f>
        <v>6917.72</v>
      </c>
      <c r="D51" s="142">
        <f>+SALDOS!D145</f>
        <v>6917.72</v>
      </c>
      <c r="E51" s="142">
        <v>0</v>
      </c>
      <c r="F51" s="146">
        <v>0</v>
      </c>
      <c r="G51" s="144"/>
      <c r="H51" s="145"/>
      <c r="I51" s="96"/>
      <c r="J51" s="31"/>
      <c r="K51" s="31"/>
    </row>
    <row r="52" hidden="1" spans="1:11" x14ac:dyDescent="0.25">
      <c r="A52" s="106"/>
      <c r="B52" s="85" t="s">
        <v>438</v>
      </c>
      <c r="C52" s="124">
        <f>SUM(D52:F52)</f>
        <v>0</v>
      </c>
      <c r="D52" s="142">
        <v>0</v>
      </c>
      <c r="E52" s="142">
        <v>0</v>
      </c>
      <c r="F52" s="146">
        <v>0</v>
      </c>
      <c r="G52" s="144"/>
      <c r="H52" s="145"/>
      <c r="I52" s="96"/>
      <c r="J52" s="31"/>
      <c r="K52" s="31"/>
    </row>
    <row r="53" hidden="1" spans="1:11" x14ac:dyDescent="0.25">
      <c r="A53" s="106"/>
      <c r="B53" s="85" t="s">
        <v>439</v>
      </c>
      <c r="C53" s="124">
        <f>SUM(D53:F53)</f>
        <v>0</v>
      </c>
      <c r="D53" s="142">
        <v>0</v>
      </c>
      <c r="E53" s="142">
        <v>0</v>
      </c>
      <c r="F53" s="146">
        <v>0</v>
      </c>
      <c r="G53" s="144"/>
      <c r="H53" s="145"/>
      <c r="I53" s="96"/>
      <c r="J53" s="31"/>
      <c r="K53" s="31"/>
    </row>
    <row r="54" spans="1:11" x14ac:dyDescent="0.25">
      <c r="A54" s="106"/>
      <c r="B54" s="85" t="s">
        <v>440</v>
      </c>
      <c r="C54" s="124">
        <f>SUM(D54:F54)</f>
        <v>2342.32</v>
      </c>
      <c r="D54" s="142">
        <v>0</v>
      </c>
      <c r="E54" s="141">
        <f>+SALDOS!D181</f>
        <v>2342.32</v>
      </c>
      <c r="F54" s="146">
        <v>0</v>
      </c>
      <c r="G54" s="144"/>
      <c r="H54" s="145"/>
      <c r="I54" s="96"/>
      <c r="J54" s="31"/>
      <c r="K54" s="31"/>
    </row>
    <row r="55" hidden="1" spans="1:11" x14ac:dyDescent="0.25">
      <c r="A55" s="106"/>
      <c r="B55" s="85" t="s">
        <v>441</v>
      </c>
      <c r="C55" s="124">
        <f>SUM(D55:F55)</f>
        <v>0</v>
      </c>
      <c r="D55" s="142">
        <v>0</v>
      </c>
      <c r="E55" s="142">
        <v>0</v>
      </c>
      <c r="F55" s="147">
        <f>+SALDOS!D198</f>
        <v>0</v>
      </c>
      <c r="G55" s="144"/>
      <c r="H55" s="145"/>
      <c r="I55" s="96"/>
      <c r="J55" s="31"/>
      <c r="K55" s="31"/>
    </row>
    <row r="56" hidden="1" spans="1:11" x14ac:dyDescent="0.25">
      <c r="A56" s="106"/>
      <c r="B56" s="85" t="s">
        <v>442</v>
      </c>
      <c r="C56" s="124">
        <f>SUM(D56:F56)</f>
        <v>0</v>
      </c>
      <c r="D56" s="142">
        <v>0</v>
      </c>
      <c r="E56" s="142">
        <v>0</v>
      </c>
      <c r="F56" s="147">
        <f>+SALDOS!D196</f>
        <v>0</v>
      </c>
      <c r="G56" s="144"/>
      <c r="H56" s="145"/>
      <c r="I56" s="96"/>
      <c r="J56" s="31"/>
      <c r="K56" s="31"/>
    </row>
    <row r="57" hidden="1" spans="1:11" x14ac:dyDescent="0.25">
      <c r="A57" s="106"/>
      <c r="B57" s="85" t="s">
        <v>443</v>
      </c>
      <c r="C57" s="124">
        <f>SUM(D57:F57)</f>
        <v>0</v>
      </c>
      <c r="D57" s="142">
        <v>0</v>
      </c>
      <c r="E57" s="142">
        <v>0</v>
      </c>
      <c r="F57" s="147">
        <f>+SALDOS!D203</f>
        <v>0</v>
      </c>
      <c r="G57" s="144"/>
      <c r="H57" s="145"/>
      <c r="I57" s="96"/>
      <c r="J57" s="31"/>
      <c r="K57" s="31"/>
    </row>
    <row r="58" spans="1:11" x14ac:dyDescent="0.25">
      <c r="A58" s="106"/>
      <c r="B58" s="85" t="s">
        <v>444</v>
      </c>
      <c r="C58" s="124">
        <f>SUM(D58:F58)</f>
        <v>65.43</v>
      </c>
      <c r="D58" s="142">
        <v>0</v>
      </c>
      <c r="E58" s="142">
        <f>+SALDOS!D199</f>
        <v>65.43</v>
      </c>
      <c r="F58" s="147">
        <f>+SALDOS!D208</f>
        <v>0</v>
      </c>
      <c r="G58" s="144"/>
      <c r="H58" s="145"/>
      <c r="I58" s="96"/>
      <c r="J58" s="31"/>
      <c r="K58" s="31"/>
    </row>
    <row r="59" hidden="1" spans="1:11" x14ac:dyDescent="0.25">
      <c r="A59" s="106"/>
      <c r="B59" s="85" t="s">
        <v>445</v>
      </c>
      <c r="C59" s="124">
        <f>SUM(D59:F59)</f>
        <v>0</v>
      </c>
      <c r="D59" s="142">
        <v>0</v>
      </c>
      <c r="E59" s="142">
        <f>+SALDOS!D185</f>
        <v>0</v>
      </c>
      <c r="F59" s="147">
        <v>0</v>
      </c>
      <c r="G59" s="144"/>
      <c r="H59" s="145"/>
      <c r="I59" s="96"/>
      <c r="J59" s="31"/>
      <c r="K59" s="31"/>
    </row>
    <row r="60" spans="1:11" x14ac:dyDescent="0.25">
      <c r="A60" s="106"/>
      <c r="B60" s="85" t="s">
        <v>446</v>
      </c>
      <c r="C60" s="124">
        <f>SUM(D60:F60)</f>
        <v>1883.1100000000001</v>
      </c>
      <c r="D60" s="141">
        <f>+SALDOS!D128</f>
        <v>1883.1100000000001</v>
      </c>
      <c r="E60" s="142">
        <v>0</v>
      </c>
      <c r="F60" s="146">
        <v>0</v>
      </c>
      <c r="G60" s="144"/>
      <c r="H60" s="145"/>
      <c r="I60" s="96"/>
      <c r="J60" s="31"/>
      <c r="K60" s="31"/>
    </row>
    <row r="61" hidden="1" spans="1:11" x14ac:dyDescent="0.25">
      <c r="A61" s="106"/>
      <c r="B61" s="85" t="s">
        <v>447</v>
      </c>
      <c r="C61" s="124">
        <f>SUM(D61:F61)</f>
        <v>0</v>
      </c>
      <c r="D61" s="141">
        <v>0</v>
      </c>
      <c r="E61" s="142">
        <f>+SALDOS!D200</f>
        <v>0</v>
      </c>
      <c r="F61" s="146">
        <v>0</v>
      </c>
      <c r="G61" s="144"/>
      <c r="H61" s="145"/>
      <c r="I61" s="96"/>
      <c r="J61" s="31"/>
      <c r="K61" s="31"/>
    </row>
    <row r="62" hidden="1" spans="1:11" x14ac:dyDescent="0.25">
      <c r="A62" s="106"/>
      <c r="B62" s="85" t="s">
        <v>448</v>
      </c>
      <c r="C62" s="124">
        <f>SUM(D62:F62)</f>
        <v>0</v>
      </c>
      <c r="D62" s="141">
        <v>0</v>
      </c>
      <c r="E62" s="142">
        <v>0</v>
      </c>
      <c r="F62" s="146">
        <v>0</v>
      </c>
      <c r="G62" s="144"/>
      <c r="H62" s="145"/>
      <c r="I62" s="96"/>
      <c r="J62" s="31"/>
      <c r="K62" s="31"/>
    </row>
    <row r="63" hidden="1" spans="1:11" x14ac:dyDescent="0.25">
      <c r="A63" s="106"/>
      <c r="B63" s="85" t="s">
        <v>449</v>
      </c>
      <c r="C63" s="124">
        <f>SUM(D63:F63)</f>
        <v>0</v>
      </c>
      <c r="D63" s="142">
        <v>0</v>
      </c>
      <c r="E63" s="141">
        <f>+SALDOS!D152</f>
        <v>0</v>
      </c>
      <c r="F63" s="146">
        <v>0</v>
      </c>
      <c r="G63" s="144"/>
      <c r="H63" s="145"/>
      <c r="I63" s="96"/>
      <c r="J63" s="31"/>
      <c r="K63" s="31"/>
    </row>
    <row r="64" spans="1:11" x14ac:dyDescent="0.25">
      <c r="A64" s="106"/>
      <c r="B64" s="85" t="s">
        <v>450</v>
      </c>
      <c r="C64" s="124">
        <f>SUM(D64:F64)</f>
        <v>4934.13</v>
      </c>
      <c r="D64" s="142">
        <v>0</v>
      </c>
      <c r="E64" s="141">
        <f>+SALDOS!D141-SALDOS!E135</f>
        <v>4934.13</v>
      </c>
      <c r="F64" s="146">
        <v>0</v>
      </c>
      <c r="G64" s="144"/>
      <c r="H64" s="145"/>
      <c r="I64" s="96"/>
      <c r="J64" s="31"/>
      <c r="K64" s="31"/>
    </row>
    <row r="65" spans="1:11" x14ac:dyDescent="0.25">
      <c r="A65" s="106"/>
      <c r="B65" s="85" t="s">
        <v>451</v>
      </c>
      <c r="C65" s="124">
        <f>SUM(D65:F65)</f>
        <v>275.24</v>
      </c>
      <c r="D65" s="142">
        <v>0</v>
      </c>
      <c r="E65" s="141">
        <f>+SALDOS!D155+SALDOS!D157+SALDOS!D187+SALDOS!D190</f>
        <v>275.24</v>
      </c>
      <c r="F65" s="146">
        <v>0</v>
      </c>
      <c r="G65" s="144"/>
      <c r="H65" s="145"/>
      <c r="I65" s="96"/>
      <c r="J65" s="31"/>
      <c r="K65" s="31"/>
    </row>
    <row r="66" hidden="1" spans="1:11" x14ac:dyDescent="0.25">
      <c r="A66" s="106"/>
      <c r="B66" s="85" t="s">
        <v>452</v>
      </c>
      <c r="C66" s="124">
        <f>SUM(D66:F66)</f>
        <v>0</v>
      </c>
      <c r="D66" s="141">
        <f>+SALDOS!D158</f>
        <v>0</v>
      </c>
      <c r="E66" s="141">
        <v>0</v>
      </c>
      <c r="F66" s="146">
        <v>0</v>
      </c>
      <c r="G66" s="144"/>
      <c r="H66" s="145"/>
      <c r="I66" s="96"/>
      <c r="J66" s="31"/>
      <c r="K66" s="31"/>
    </row>
    <row r="67" spans="1:11" x14ac:dyDescent="0.25">
      <c r="A67" s="106"/>
      <c r="B67" s="85" t="s">
        <v>453</v>
      </c>
      <c r="C67" s="124">
        <f>SUM(D67:F67)</f>
        <v>2518.73</v>
      </c>
      <c r="D67" s="141">
        <f>+SALDOS!D125</f>
        <v>2518.73</v>
      </c>
      <c r="E67" s="141">
        <v>0</v>
      </c>
      <c r="F67" s="146">
        <v>0</v>
      </c>
      <c r="G67" s="144"/>
      <c r="H67" s="145"/>
      <c r="I67" s="96"/>
      <c r="J67" s="31"/>
      <c r="K67" s="31"/>
    </row>
    <row r="68" spans="1:11" x14ac:dyDescent="0.25">
      <c r="A68" s="106"/>
      <c r="B68" s="85" t="s">
        <v>454</v>
      </c>
      <c r="C68" s="124">
        <f>SUM(D68:F68)</f>
        <v>3033.18</v>
      </c>
      <c r="D68" s="141">
        <v>0</v>
      </c>
      <c r="E68" s="142">
        <f>+SALDOS!D160+SALDOS!D169</f>
        <v>3033.18</v>
      </c>
      <c r="F68" s="146">
        <v>0</v>
      </c>
      <c r="G68" s="144"/>
      <c r="H68" s="145"/>
      <c r="I68" s="96"/>
      <c r="J68" s="31"/>
      <c r="K68" s="31"/>
    </row>
    <row r="69" hidden="1" spans="1:11" x14ac:dyDescent="0.25">
      <c r="A69" s="106"/>
      <c r="B69" s="85" t="s">
        <v>455</v>
      </c>
      <c r="C69" s="124">
        <f>SUM(D69:F69)</f>
        <v>0</v>
      </c>
      <c r="D69" s="141">
        <v>0</v>
      </c>
      <c r="E69" s="142">
        <f>+SALDOS!D182</f>
        <v>0</v>
      </c>
      <c r="F69" s="146">
        <v>0</v>
      </c>
      <c r="G69" s="144"/>
      <c r="H69" s="145"/>
      <c r="I69" s="96"/>
      <c r="J69" s="31"/>
      <c r="K69" s="31"/>
    </row>
    <row r="70" spans="1:11" x14ac:dyDescent="0.25">
      <c r="A70" s="106"/>
      <c r="B70" s="85" t="s">
        <v>456</v>
      </c>
      <c r="C70" s="124">
        <f>SUM(D70:F70)</f>
        <v>13081.470000000001</v>
      </c>
      <c r="D70" s="142">
        <v>0</v>
      </c>
      <c r="E70" s="141">
        <f>+SALDOS!D159</f>
        <v>13081.470000000001</v>
      </c>
      <c r="F70" s="146">
        <v>0</v>
      </c>
      <c r="G70" s="144"/>
      <c r="H70" s="145"/>
      <c r="I70" s="96"/>
      <c r="J70" s="31"/>
      <c r="K70" s="31"/>
    </row>
    <row r="71" spans="1:11" x14ac:dyDescent="0.25">
      <c r="A71" s="106"/>
      <c r="B71" s="85" t="s">
        <v>457</v>
      </c>
      <c r="C71" s="124">
        <f>SUM(D71:F71)</f>
        <v>3210.9199999999996</v>
      </c>
      <c r="D71" s="142">
        <v>0</v>
      </c>
      <c r="E71" s="142">
        <f>+SALDOS!D206-SALDOS!E125</f>
        <v>3210.9199999999996</v>
      </c>
      <c r="F71" s="146">
        <v>0</v>
      </c>
      <c r="G71" s="144"/>
      <c r="H71" s="145"/>
      <c r="I71" s="96"/>
      <c r="J71" s="31"/>
      <c r="K71" s="31"/>
    </row>
    <row r="72" hidden="1" spans="1:11" x14ac:dyDescent="0.25">
      <c r="A72" s="106"/>
      <c r="B72" s="85" t="s">
        <v>458</v>
      </c>
      <c r="C72" s="124">
        <f>SUM(D72:F72)</f>
        <v>0</v>
      </c>
      <c r="D72" s="142">
        <v>0</v>
      </c>
      <c r="E72" s="141">
        <f>+SALDOS!D166</f>
        <v>0</v>
      </c>
      <c r="F72" s="146">
        <v>0</v>
      </c>
      <c r="G72" s="144"/>
      <c r="H72" s="31"/>
      <c r="I72" s="31"/>
      <c r="J72" s="31"/>
      <c r="K72" s="31"/>
    </row>
    <row r="73" hidden="1" spans="1:11" x14ac:dyDescent="0.25">
      <c r="A73" s="106"/>
      <c r="B73" s="85" t="s">
        <v>459</v>
      </c>
      <c r="C73" s="124">
        <f>SUM(D73:F73)</f>
        <v>0</v>
      </c>
      <c r="D73" s="141">
        <f>+SALDOS!D165+SALDOS!D135</f>
        <v>0</v>
      </c>
      <c r="E73" s="142">
        <v>0</v>
      </c>
      <c r="F73" s="146">
        <v>0</v>
      </c>
      <c r="G73" s="144"/>
      <c r="H73" s="31"/>
      <c r="I73" s="31"/>
      <c r="J73" s="31"/>
      <c r="K73" s="31"/>
    </row>
    <row r="74" hidden="1" spans="1:11" x14ac:dyDescent="0.25">
      <c r="A74" s="106"/>
      <c r="B74" s="85" t="s">
        <v>460</v>
      </c>
      <c r="C74" s="124">
        <f>SUM(D74:F74)</f>
        <v>0</v>
      </c>
      <c r="D74" s="142">
        <v>0</v>
      </c>
      <c r="E74" s="142">
        <f>+SALDOS!D180+SALDOS!D191</f>
        <v>0</v>
      </c>
      <c r="F74" s="146">
        <v>0</v>
      </c>
      <c r="G74" s="144"/>
      <c r="H74" s="31"/>
      <c r="I74" s="31"/>
      <c r="J74" s="31"/>
      <c r="K74" s="31"/>
    </row>
    <row r="75" spans="1:11" x14ac:dyDescent="0.25">
      <c r="A75" s="106"/>
      <c r="B75" s="85" t="s">
        <v>461</v>
      </c>
      <c r="C75" s="124">
        <f>SUM(D75:F75)</f>
        <v>278459.11</v>
      </c>
      <c r="D75" s="142">
        <v>0</v>
      </c>
      <c r="E75" s="141">
        <f>-SALDOS!E150+SALDOS!D150</f>
        <v>278459.11</v>
      </c>
      <c r="F75" s="146">
        <v>0</v>
      </c>
      <c r="G75" s="144"/>
      <c r="H75" s="31"/>
      <c r="I75" s="31"/>
      <c r="J75" s="31"/>
      <c r="K75" s="31"/>
    </row>
    <row r="76" spans="1:11" x14ac:dyDescent="0.25">
      <c r="A76" s="106"/>
      <c r="B76" s="85" t="s">
        <v>462</v>
      </c>
      <c r="C76" s="124">
        <f>SUM(D76:F76)</f>
        <v>776.0600000000001</v>
      </c>
      <c r="D76" s="141">
        <v>0</v>
      </c>
      <c r="E76" s="142">
        <f>+SALDOS!D164</f>
        <v>776.0600000000001</v>
      </c>
      <c r="F76" s="146">
        <v>0</v>
      </c>
      <c r="G76" s="144"/>
      <c r="H76" s="31"/>
      <c r="I76" s="31"/>
      <c r="J76" s="31"/>
      <c r="K76" s="31"/>
    </row>
    <row r="77" hidden="1" spans="1:11" x14ac:dyDescent="0.25">
      <c r="A77" s="106"/>
      <c r="B77" s="85" t="s">
        <v>463</v>
      </c>
      <c r="C77" s="124">
        <f>SUM(D77:F77)</f>
        <v>0</v>
      </c>
      <c r="D77" s="141">
        <v>0</v>
      </c>
      <c r="E77" s="142">
        <v>0</v>
      </c>
      <c r="F77" s="146">
        <v>0</v>
      </c>
      <c r="G77" s="144"/>
      <c r="H77" s="31"/>
      <c r="I77" s="31"/>
      <c r="J77" s="31"/>
      <c r="K77" s="31"/>
    </row>
    <row r="78" hidden="1" spans="1:11" x14ac:dyDescent="0.25">
      <c r="A78" s="106"/>
      <c r="B78" s="85" t="s">
        <v>464</v>
      </c>
      <c r="C78" s="124">
        <f>SUM(D78:F78)</f>
        <v>0</v>
      </c>
      <c r="D78" s="142">
        <f>+SALDOS!D174</f>
        <v>0</v>
      </c>
      <c r="E78" s="142">
        <f>+SALDOS!D204</f>
        <v>0</v>
      </c>
      <c r="F78" s="146">
        <v>0</v>
      </c>
      <c r="G78" s="144"/>
      <c r="H78" s="31"/>
      <c r="I78" s="31"/>
      <c r="J78" s="31"/>
      <c r="K78" s="31"/>
    </row>
    <row r="79" spans="1:11" x14ac:dyDescent="0.25">
      <c r="A79" s="106"/>
      <c r="B79" s="85" t="s">
        <v>465</v>
      </c>
      <c r="C79" s="124">
        <f>SUM(D79:F79)</f>
        <v>711028.12</v>
      </c>
      <c r="D79" s="142">
        <v>0</v>
      </c>
      <c r="E79" s="124">
        <f>+SALDOS!D126+SALDOS!D143</f>
        <v>711028.12</v>
      </c>
      <c r="F79" s="146">
        <v>0</v>
      </c>
      <c r="G79" s="144"/>
      <c r="H79" s="31"/>
      <c r="I79" s="31"/>
      <c r="J79" s="31"/>
      <c r="K79" s="31"/>
    </row>
    <row r="80" hidden="1" spans="1:11" x14ac:dyDescent="0.25">
      <c r="A80" s="106"/>
      <c r="B80" s="85" t="s">
        <v>466</v>
      </c>
      <c r="C80" s="124">
        <f>SUM(D80:F80)</f>
        <v>0</v>
      </c>
      <c r="D80" s="142">
        <v>0</v>
      </c>
      <c r="E80" s="124">
        <f>-SALDOS!E140</f>
        <v>0</v>
      </c>
      <c r="F80" s="146">
        <v>0</v>
      </c>
      <c r="G80" s="148"/>
      <c r="H80" s="31"/>
      <c r="I80" s="31"/>
      <c r="J80" s="31"/>
      <c r="K80" s="31"/>
    </row>
    <row r="81" spans="1:11" x14ac:dyDescent="0.25">
      <c r="A81" s="106"/>
      <c r="B81" s="85" t="s">
        <v>467</v>
      </c>
      <c r="C81" s="124">
        <f>SUM(D81:F81)</f>
        <v>126714.18000000001</v>
      </c>
      <c r="D81" s="142">
        <v>0</v>
      </c>
      <c r="E81" s="124">
        <f>+SALDOS!D183</f>
        <v>126714.18000000001</v>
      </c>
      <c r="F81" s="146">
        <v>0</v>
      </c>
      <c r="G81" s="148"/>
      <c r="H81" s="31"/>
      <c r="I81" s="31"/>
      <c r="J81" s="31"/>
      <c r="K81" s="31"/>
    </row>
    <row r="82" hidden="1" spans="1:11" x14ac:dyDescent="0.25">
      <c r="A82" s="106"/>
      <c r="B82" s="85" t="s">
        <v>468</v>
      </c>
      <c r="C82" s="124">
        <f>SUM(D82:F82)</f>
        <v>0</v>
      </c>
      <c r="D82" s="142">
        <f>+SALDOS!D138+SALDOS!D137</f>
        <v>0</v>
      </c>
      <c r="E82" s="149">
        <v>0</v>
      </c>
      <c r="F82" s="150">
        <v>0</v>
      </c>
      <c r="G82" s="148"/>
      <c r="H82" s="77"/>
      <c r="I82" s="31"/>
      <c r="J82" s="31"/>
      <c r="K82" s="31"/>
    </row>
    <row r="83" spans="1:11" x14ac:dyDescent="0.25">
      <c r="A83" s="106"/>
      <c r="B83" s="85" t="s">
        <v>469</v>
      </c>
      <c r="C83" s="124">
        <f>SUM(D83:F83)</f>
        <v>127567.82</v>
      </c>
      <c r="D83" s="142">
        <f>SALDOS!D144</f>
        <v>127567.82</v>
      </c>
      <c r="E83" s="149">
        <v>0</v>
      </c>
      <c r="F83" s="150">
        <v>0</v>
      </c>
      <c r="G83" s="148"/>
      <c r="H83" s="77"/>
      <c r="I83" s="31"/>
      <c r="J83" s="31"/>
      <c r="K83" s="31"/>
    </row>
    <row r="84" spans="1:11" x14ac:dyDescent="0.25">
      <c r="A84" s="151"/>
      <c r="B84" s="152" t="str">
        <f>+EEPN!B17</f>
        <v>Total al 31.7.2026</v>
      </c>
      <c r="C84" s="153">
        <f>SUM(C11:C83)</f>
        <v>2204776.0100000002</v>
      </c>
      <c r="D84" s="153">
        <f>SUM(D11:D83)</f>
        <v>244242.16</v>
      </c>
      <c r="E84" s="153">
        <f>SUM(E11:E83)</f>
        <v>1930642.2100000002</v>
      </c>
      <c r="F84" s="154">
        <f>SUM(F11:F83)</f>
        <v>29891.64</v>
      </c>
      <c r="G84" s="76" t="e">
        <f>SUM(#REF!)</f>
        <v>#REF!</v>
      </c>
      <c r="H84" s="31"/>
      <c r="I84" s="31"/>
      <c r="J84" s="31"/>
      <c r="K84" s="31"/>
    </row>
    <row r="85" ht="14.4" customHeight="1" hidden="1" spans="1:11" x14ac:dyDescent="0.25">
      <c r="A85" s="106"/>
      <c r="B85" s="85" t="s">
        <v>285</v>
      </c>
      <c r="C85" s="153">
        <f>SUM(C15:C84)</f>
        <v>4346086.92</v>
      </c>
      <c r="D85" s="124">
        <v>0</v>
      </c>
      <c r="E85" s="155">
        <v>0</v>
      </c>
      <c r="F85" s="126">
        <v>0</v>
      </c>
      <c r="G85" s="156">
        <f>SUM(D85:F85)</f>
        <v>0</v>
      </c>
      <c r="H85" s="31"/>
      <c r="I85" s="31"/>
      <c r="J85" s="31"/>
      <c r="K85" s="31"/>
    </row>
    <row r="86" spans="1:11" x14ac:dyDescent="0.25">
      <c r="A86" s="85"/>
      <c r="B86" s="85"/>
      <c r="C86" s="157"/>
      <c r="D86" s="89"/>
      <c r="E86" s="89"/>
      <c r="F86" s="89"/>
      <c r="G86" s="73"/>
      <c r="H86" s="31"/>
      <c r="I86" s="31"/>
      <c r="J86" s="31"/>
      <c r="K86" s="31"/>
    </row>
    <row r="87" spans="1:11" x14ac:dyDescent="0.25">
      <c r="A87" s="85" t="s">
        <v>237</v>
      </c>
      <c r="B87" s="85"/>
      <c r="C87" s="89"/>
      <c r="D87" s="89"/>
      <c r="E87" s="85"/>
      <c r="F87" s="85"/>
      <c r="G87" s="31"/>
      <c r="H87" s="31"/>
      <c r="I87" s="31"/>
      <c r="J87" s="31"/>
      <c r="K87" s="31"/>
    </row>
    <row r="88" spans="1:11" x14ac:dyDescent="0.25">
      <c r="A88" s="85" t="s">
        <v>238</v>
      </c>
      <c r="B88" s="85"/>
      <c r="C88" s="89"/>
      <c r="D88" s="85"/>
      <c r="E88" s="85"/>
      <c r="F88" s="85"/>
      <c r="G88" s="31"/>
      <c r="H88" s="31"/>
      <c r="I88" s="31"/>
      <c r="J88" s="31"/>
      <c r="K88" s="31"/>
    </row>
    <row r="89" spans="1:11" x14ac:dyDescent="0.25">
      <c r="A89" s="85"/>
      <c r="B89" s="85"/>
      <c r="C89" s="85"/>
      <c r="D89" s="85"/>
      <c r="E89" s="85"/>
      <c r="F89" s="85"/>
      <c r="G89" s="31"/>
      <c r="H89" s="31"/>
      <c r="I89" s="31"/>
      <c r="J89" s="31"/>
      <c r="K89" s="31"/>
    </row>
    <row r="90" spans="1:11" x14ac:dyDescent="0.25">
      <c r="A90" s="85"/>
      <c r="B90" s="85"/>
      <c r="C90" s="89"/>
      <c r="D90" s="89"/>
      <c r="E90" s="85"/>
      <c r="F90" s="85"/>
      <c r="G90" s="31"/>
      <c r="H90" s="31"/>
      <c r="I90" s="31"/>
      <c r="J90" s="31"/>
      <c r="K90" s="31"/>
    </row>
    <row r="91" spans="1:11" x14ac:dyDescent="0.25">
      <c r="A91" s="85"/>
      <c r="B91" s="85"/>
      <c r="C91" s="85"/>
      <c r="D91" s="85"/>
      <c r="E91" s="85"/>
      <c r="F91" s="85"/>
      <c r="G91" s="31"/>
      <c r="H91" s="31"/>
      <c r="I91" s="31"/>
      <c r="J91" s="31"/>
      <c r="K91" s="31"/>
    </row>
    <row r="92" spans="1:11" x14ac:dyDescent="0.25">
      <c r="A92" s="85"/>
      <c r="B92" s="85"/>
      <c r="C92" s="85"/>
      <c r="D92" s="87"/>
      <c r="E92" s="85"/>
      <c r="F92" s="85"/>
      <c r="G92" s="31"/>
      <c r="H92" s="31"/>
      <c r="I92" s="31"/>
      <c r="J92" s="31"/>
      <c r="K92" s="31"/>
    </row>
    <row r="93" spans="1:11" x14ac:dyDescent="0.25">
      <c r="A93" s="85"/>
      <c r="B93" s="85"/>
      <c r="C93" s="87" t="str">
        <f>+'Anexo I'!C27</f>
        <v>Miguel Ángel Alonso</v>
      </c>
      <c r="D93" s="87"/>
      <c r="E93" s="87" t="str">
        <f>+'Anexo I'!I27</f>
        <v>Tomas Furlong</v>
      </c>
      <c r="F93" s="85"/>
      <c r="G93" s="31"/>
      <c r="H93" s="31"/>
      <c r="I93" s="31"/>
      <c r="J93" s="31"/>
      <c r="K93" s="31"/>
    </row>
    <row r="94" spans="1:11" x14ac:dyDescent="0.25">
      <c r="A94" s="85"/>
      <c r="B94" s="85"/>
      <c r="C94" s="87" t="str">
        <f>+'Anexo I'!C28</f>
        <v>Contador Público (UCA)</v>
      </c>
      <c r="D94" s="87"/>
      <c r="E94" s="87" t="str">
        <f>+'Anexo I'!I28</f>
        <v>Transportes Furlong S.A.</v>
      </c>
      <c r="F94" s="85"/>
      <c r="G94" s="31"/>
      <c r="H94" s="31"/>
      <c r="I94" s="31"/>
      <c r="J94" s="31"/>
      <c r="K94" s="31"/>
    </row>
    <row r="95" spans="1:11" x14ac:dyDescent="0.25">
      <c r="A95" s="85"/>
      <c r="B95" s="85"/>
      <c r="C95" s="87" t="str">
        <f>+'Anexo I'!C29</f>
        <v>C.P.C.E.C.A.B.A. Tº176 Fº3</v>
      </c>
      <c r="D95" s="87"/>
      <c r="E95" s="87" t="str">
        <f>+'Anexo I'!I29</f>
        <v>Apoderado</v>
      </c>
      <c r="F95" s="85"/>
      <c r="G95" s="31"/>
      <c r="H95" s="31"/>
      <c r="I95" s="31"/>
      <c r="J95" s="31"/>
      <c r="K95" s="31"/>
    </row>
    <row r="96" spans="1:11" x14ac:dyDescent="0.25">
      <c r="A96" s="85"/>
      <c r="B96" s="85"/>
      <c r="C96" s="87"/>
      <c r="D96" s="87"/>
      <c r="E96" s="87"/>
      <c r="F96" s="87"/>
      <c r="G96" s="31"/>
      <c r="H96" s="31"/>
      <c r="I96" s="31"/>
      <c r="J96" s="31"/>
      <c r="K96" s="31"/>
    </row>
    <row r="97" spans="1:11" x14ac:dyDescent="0.25">
      <c r="A97" s="85"/>
      <c r="B97" s="85"/>
      <c r="C97" s="87"/>
      <c r="D97" s="85"/>
      <c r="E97" s="85"/>
      <c r="F97" s="87"/>
      <c r="G97" s="31"/>
      <c r="H97" s="31"/>
      <c r="I97" s="31"/>
      <c r="J97" s="31"/>
      <c r="K97" s="31"/>
    </row>
    <row r="98" spans="1:11" x14ac:dyDescent="0.25">
      <c r="A98" s="85"/>
      <c r="B98" s="85"/>
      <c r="C98" s="87"/>
      <c r="D98" s="85"/>
      <c r="E98" s="85"/>
      <c r="F98" s="87"/>
      <c r="G98" s="31"/>
      <c r="H98" s="31"/>
      <c r="I98" s="31"/>
      <c r="J98" s="31"/>
      <c r="K98" s="31"/>
    </row>
  </sheetData>
  <pageMargins left="0.23" right="0.75" top="0.34" bottom="0.37" header="0" footer="0"/>
  <pageSetup paperSize="9" orientation="portrait" horizontalDpi="4294967295" verticalDpi="4294967295" scale="55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workbookViewId="0" zoomScale="100" zoomScaleNormal="100"/>
  </sheetViews>
  <sheetFormatPr defaultRowHeight="0" outlineLevelRow="0" outlineLevelCol="0" x14ac:dyDescent="0" customHeight="1"/>
  <cols>
    <col min="1" max="1" width="11.6640625" customWidth="1"/>
    <col min="2" max="257" width="9.109375" customWidth="1"/>
  </cols>
  <sheetData>
    <row r="1" spans="1:4" x14ac:dyDescent="0.25">
      <c r="A1" s="94"/>
      <c r="B1" s="94"/>
      <c r="C1" s="94"/>
      <c r="D1" s="94"/>
    </row>
    <row r="2" spans="1:4" x14ac:dyDescent="0.25">
      <c r="A2" s="94"/>
      <c r="B2" s="94"/>
      <c r="C2" s="94"/>
      <c r="D2" s="94"/>
    </row>
    <row r="3" spans="1:4" x14ac:dyDescent="0.25">
      <c r="A3" s="94" t="s">
        <v>470</v>
      </c>
      <c r="B3" s="94"/>
      <c r="C3" s="94"/>
      <c r="D3" s="94"/>
    </row>
    <row r="4" spans="1:4" x14ac:dyDescent="0.25">
      <c r="A4" s="96">
        <f>+EESP!F31</f>
        <v>508409.5033114955</v>
      </c>
      <c r="B4" s="94" t="s">
        <v>471</v>
      </c>
      <c r="C4" s="94"/>
      <c r="D4" s="94"/>
    </row>
    <row r="5" spans="1:4" x14ac:dyDescent="0.25">
      <c r="A5" s="96">
        <f>+EESP!L23</f>
        <v>2016408.0056771415</v>
      </c>
      <c r="B5" s="94" t="s">
        <v>327</v>
      </c>
      <c r="C5" s="94"/>
      <c r="D5" s="94"/>
    </row>
    <row r="6" spans="1:4" x14ac:dyDescent="0.25">
      <c r="A6" s="96">
        <f>+A4-A5</f>
        <v>-1507998.502365646</v>
      </c>
      <c r="B6" s="94" t="s">
        <v>472</v>
      </c>
      <c r="C6" s="94"/>
      <c r="D6" s="94"/>
    </row>
    <row r="7" spans="1:4" x14ac:dyDescent="0.25">
      <c r="A7" s="96">
        <f>+A6*0.005</f>
        <v>-7539.99251182823</v>
      </c>
      <c r="B7" s="94" t="s">
        <v>473</v>
      </c>
      <c r="C7" s="94"/>
      <c r="D7" s="94"/>
    </row>
    <row r="8" spans="1:4" x14ac:dyDescent="0.25">
      <c r="A8" s="94"/>
      <c r="B8" s="94"/>
      <c r="C8" s="94"/>
      <c r="D8" s="94"/>
    </row>
    <row r="9" spans="1:4" x14ac:dyDescent="0.25">
      <c r="A9" s="94"/>
      <c r="B9" s="94"/>
      <c r="C9" s="94"/>
      <c r="D9" s="94"/>
    </row>
    <row r="10" spans="1:4" x14ac:dyDescent="0.25">
      <c r="A10" s="94"/>
      <c r="B10" s="94"/>
      <c r="C10" s="94"/>
      <c r="D10" s="94"/>
    </row>
    <row r="11" spans="1:4" x14ac:dyDescent="0.25">
      <c r="A11" s="94"/>
      <c r="B11" s="94"/>
      <c r="C11" s="94"/>
      <c r="D11" s="94" t="s">
        <v>474</v>
      </c>
    </row>
  </sheetData>
  <pageMargins left="0.75" right="0.75" top="1" bottom="1" header="0" footer="0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SALDOS</vt:lpstr>
      <vt:lpstr>EESP</vt:lpstr>
      <vt:lpstr>EERR</vt:lpstr>
      <vt:lpstr>EEPN</vt:lpstr>
      <vt:lpstr>Activo</vt:lpstr>
      <vt:lpstr>Pasivo</vt:lpstr>
      <vt:lpstr>Anexo I</vt:lpstr>
      <vt:lpstr>Anexo II</vt:lpstr>
      <vt:lpstr>Bienes</vt:lpstr>
    </vt:vector>
  </TitlesOfParts>
  <Company>Estudio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</dc:creator>
  <cp:lastModifiedBy>Roman Martin Justo</cp:lastModifiedBy>
  <cp:lastPrinted>2023-04-14T15:35:53Z</cp:lastPrinted>
  <dcterms:created xsi:type="dcterms:W3CDTF">2006-02-16T20:30:30Z</dcterms:created>
  <dcterms:modified xsi:type="dcterms:W3CDTF">2026-08-14T18:55:06Z</dcterms:modified>
</cp:coreProperties>
</file>