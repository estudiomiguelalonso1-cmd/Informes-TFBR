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DOS" state="visible" r:id="rId4"/>
    <sheet sheetId="2" name="EESP" state="visible" r:id="rId5"/>
    <sheet sheetId="3" name="EERR" state="visible" r:id="rId6"/>
    <sheet sheetId="4" name="EEPN" state="visible" r:id="rId7"/>
    <sheet sheetId="5" name="Activo" state="visible" r:id="rId8"/>
    <sheet sheetId="6" name="Pasivo" state="visible" r:id="rId9"/>
    <sheet sheetId="7" name="Anexo I" state="visible" r:id="rId10"/>
    <sheet sheetId="8" name="Anexo II" state="visible" r:id="rId11"/>
  </sheets>
  <definedNames>
    <definedName name="_xlnm.Print_Area" localSheetId="6">'Anexo I'!$A1:$L24</definedName>
  </definedNames>
  <calcPr calcId="171027"/>
</workbook>
</file>

<file path=xl/sharedStrings.xml><?xml version="1.0" encoding="utf-8"?>
<sst xmlns="http://schemas.openxmlformats.org/spreadsheetml/2006/main" count="711" uniqueCount="580">
  <si>
    <t>TRANSPORTES FURLONG S.A.</t>
  </si>
  <si>
    <t>del 01/7/2026 al 31/7/2026</t>
  </si>
  <si>
    <t>Deudor</t>
  </si>
  <si>
    <t>Acreedor</t>
  </si>
  <si>
    <t>Activo</t>
  </si>
  <si>
    <t>1110100330  FONDO FIJO BS. AS.</t>
  </si>
  <si>
    <t>1110100340  FONDO FIJO SENASA</t>
  </si>
  <si>
    <t>1110100420  BANCO FRANCES C/C</t>
  </si>
  <si>
    <t>1110101050  FONDO FIJO ADELANTOS PDT</t>
  </si>
  <si>
    <t>1120100100  FORD</t>
  </si>
  <si>
    <t>1120100400  TRANSPORTES FURLONG S.A. AR</t>
  </si>
  <si>
    <t>1120100700  RENAULT ARG. S.A.</t>
  </si>
  <si>
    <t>1120101300  VOLKSWAGEN ARGENTINA S.A.</t>
  </si>
  <si>
    <t>1120101600  FCA AUTOMOBILES ARGENTINA S.A.</t>
  </si>
  <si>
    <t xml:space="preserve"> </t>
  </si>
  <si>
    <t>1120131000  CNH ARGENTINA S.A.</t>
  </si>
  <si>
    <t>1120138000  STELLANTIS AUTOMOVILES DE ARGENTINA S. A</t>
  </si>
  <si>
    <t>1140300100  ANTICIPO A PDT</t>
  </si>
  <si>
    <t>1140600300  PRESTAMO A. VELASCO</t>
  </si>
  <si>
    <t>1140600700  PRESTAMO CARLOS FURLONG</t>
  </si>
  <si>
    <t>1140601100  PRESTAMO LORENA ALVES</t>
  </si>
  <si>
    <t>1140601300  PRESTAMO CUBA</t>
  </si>
  <si>
    <t>1140601500 - PRESTAMO PACCIELO</t>
  </si>
  <si>
    <t>1140500500  ADELANTO DE SUELDOS</t>
  </si>
  <si>
    <t>1140500300  ANTICIPO DE VACACIONES</t>
  </si>
  <si>
    <t>1140900700  SEGUROS A DEV. ZURICH ASEG. S.A.</t>
  </si>
  <si>
    <t>1140900800  SEGUROS A DEV. ARG LA MERIDIONAL</t>
  </si>
  <si>
    <t>1140900900  SEGUROS A DEV. FEDERACION PATRONAL SA</t>
  </si>
  <si>
    <t>1160100000  FCI BBVA Inversiones</t>
  </si>
  <si>
    <t>1160200000  Plazo fijo</t>
  </si>
  <si>
    <t>1160300000  Intereses a devengar PF</t>
  </si>
  <si>
    <t>1210100100 SOFTWARE</t>
  </si>
  <si>
    <t>1210200300  MUEBLES Y UTILES</t>
  </si>
  <si>
    <t>1210300100  IMPRESORA EPSON LX300</t>
  </si>
  <si>
    <t>1210300200  IMPRESORA EPSON MULTIFUNCIÓN</t>
  </si>
  <si>
    <t>1210300300  COMPUTADORAS</t>
  </si>
  <si>
    <t>1210400100  EQUIPOS</t>
  </si>
  <si>
    <t>1210500100  AIRE ACONDICIONADO</t>
  </si>
  <si>
    <t>1210500200  CALEFÓN</t>
  </si>
  <si>
    <t>1210700100  RODADOS</t>
  </si>
  <si>
    <t>1220200000  AMORT. ACUM. M Y UTS</t>
  </si>
  <si>
    <t>1220600000  AMORT. ACUM. COMPUTADORAS</t>
  </si>
  <si>
    <t>1220100000  AMORT. ACUM. SOFTWARE</t>
  </si>
  <si>
    <t>1220300000  AMORT. ACUM. EQUIPOS</t>
  </si>
  <si>
    <t>1220400000  AMORT. ACUM. INSTALACIONES</t>
  </si>
  <si>
    <t>1220500000  AMORT. ACUM. HARDWARE</t>
  </si>
  <si>
    <t>1220700000  AMORT. ACUM. RODADOS</t>
  </si>
  <si>
    <t>2.1.1.01.01.0.0  BOSTON CIA ARG DE SEGUROS</t>
  </si>
  <si>
    <t>2.1.1.01.02.0.0  EL COMERCIO CIA DE SEGUROS</t>
  </si>
  <si>
    <t>Pasivo</t>
  </si>
  <si>
    <t>2110100300  COTELCAM</t>
  </si>
  <si>
    <t>2110100900  ESTUDIO CORTES</t>
  </si>
  <si>
    <t>2110101500  VENEZIA AUTOS SA</t>
  </si>
  <si>
    <t>2110101800  TRANSPORTES FURLONG ARG. S.A</t>
  </si>
  <si>
    <t>2110102400  OSDE</t>
  </si>
  <si>
    <t>2110105400  MERCOVIA S.A.</t>
  </si>
  <si>
    <t>2110106800  OKINET SRL</t>
  </si>
  <si>
    <t>2110108900  LA MERIDIONAL S.A.</t>
  </si>
  <si>
    <t>2110115100  GIULI SERGIO ALBERTO</t>
  </si>
  <si>
    <t>2110116700  CARLOS ALEJANDRO DUMA</t>
  </si>
  <si>
    <t>2110118000  MANGGINI PABLO Y ULISES S.H</t>
  </si>
  <si>
    <t>2110120600  QBE SEGUROS LA BUENOS AIRES S.A.</t>
  </si>
  <si>
    <t>2110125800  SERVI OESTE S.A</t>
  </si>
  <si>
    <t>2110131700  LIBRERIA MAYA SA</t>
  </si>
  <si>
    <t>2110126900  RODRIGO E. FONTAN</t>
  </si>
  <si>
    <t>2110132900  AURELIA S.A.C.I.F.</t>
  </si>
  <si>
    <t>2110127300  AB Fiduciaria S.A.</t>
  </si>
  <si>
    <t>2110129600  LAURA DI GIROLAMO</t>
  </si>
  <si>
    <t>2110130100  LUCIO JORGE ZEMBORAIN</t>
  </si>
  <si>
    <t>2110134300  HOCO S.A.</t>
  </si>
  <si>
    <t>2110141500  FIDEICOMISO RS CAMPANA</t>
  </si>
  <si>
    <t>2110160100  ZOPPI MARIANO</t>
  </si>
  <si>
    <t>2110160500 - TANCO PADILLA ALFREDO</t>
  </si>
  <si>
    <t>2110161200  QUEREJETA LUIS</t>
  </si>
  <si>
    <t>2110192100  FEDERACION PATRONAL SEGUROS S.A</t>
  </si>
  <si>
    <t>2110195000  RUBIN DE CELIS AGUSTIN</t>
  </si>
  <si>
    <t>2110197900  AMX ARGENTINA S.A.</t>
  </si>
  <si>
    <t>2116100000 - Marcos Gabriel Giordano</t>
  </si>
  <si>
    <t>2110198300  DEFINOR S.A</t>
  </si>
  <si>
    <t>2110300100  SUELDOS A PAGAR</t>
  </si>
  <si>
    <t>2110300200  CARGAS SOCIALES A PAGAR</t>
  </si>
  <si>
    <t>2110300400  SICORE A PAGAR</t>
  </si>
  <si>
    <t>2110407000  Plan mis Facilidades</t>
  </si>
  <si>
    <t>2110408000  Intereses a Devengar</t>
  </si>
  <si>
    <t>2110804400  MARCOS RAUL RODRIGUEZ</t>
  </si>
  <si>
    <t>2110805100  Concesionaria  Rodovias</t>
  </si>
  <si>
    <t>2112100000 ARTEAGA PEDRO</t>
  </si>
  <si>
    <t>2115900000  ROMERO SILVIA ADRIANA</t>
  </si>
  <si>
    <t>2110403000  PLAN MIS FACILIDADES R684502</t>
  </si>
  <si>
    <t>2110404000  INTERESES A DEVENGAR R684502</t>
  </si>
  <si>
    <t>2110405000  PLAN MIS FACILIDADES T064177</t>
  </si>
  <si>
    <t>2110406000  INTERESES A DEVENGAR T064177</t>
  </si>
  <si>
    <t>2110700100  ADELANTO CASA MATRIZ</t>
  </si>
  <si>
    <t>2110700600  ACUERDOS CNRT A PAGAR</t>
  </si>
  <si>
    <t>2110800400  SEGURA PADILLA DOLORES DEL VALLE</t>
  </si>
  <si>
    <t>2110801500  LETE MARIO NELSON</t>
  </si>
  <si>
    <t>2110801800  ESTUDIO ADUANERO BERTORELLO &amp; Asoc SRL</t>
  </si>
  <si>
    <t>2110803300  AUTOPISTAS DEL SOL S.A.</t>
  </si>
  <si>
    <t>2110804300  ZURICH ASEGURADORA ARGENTINA S.A</t>
  </si>
  <si>
    <t>2110803700  AUTOPISTAS URBANAS S.A.</t>
  </si>
  <si>
    <t>2110804800   AUTOPISTAS DE BUENOS AIRES SA</t>
  </si>
  <si>
    <t>2110803600  OPUS INSPECTION S.A.</t>
  </si>
  <si>
    <t>2110804500  GASTON SAMACOITS</t>
  </si>
  <si>
    <t>2110804600  LUDUEÑA FRANCO RODRIGO</t>
  </si>
  <si>
    <t>2113000000  FERNANDEZ MEDINA MARIA ELSA</t>
  </si>
  <si>
    <t>2110804100 FERNANDO ATILIO BERTORELLO</t>
  </si>
  <si>
    <t>2113200000  SERGIO MARCELO MARTIN</t>
  </si>
  <si>
    <t>2110805400  HOTEL RENTAL SUITES CAMPANA</t>
  </si>
  <si>
    <t>2116400000 AUTOVIA DEL MERCOSUR</t>
  </si>
  <si>
    <t>2116300000  Sistemas Bejerman</t>
  </si>
  <si>
    <t>2113400000  FRONTAR LIBRE</t>
  </si>
  <si>
    <t>2113700000  POLIPREN ARGENTINA SRL</t>
  </si>
  <si>
    <t>212010000 PREV.DIF.DE CAMBIO FIAT</t>
  </si>
  <si>
    <t>212020000  PREV. PARA DESPIDOS</t>
  </si>
  <si>
    <t>2110700250  PROVISIÓN SINIESTRO FORD</t>
  </si>
  <si>
    <t>Patrimonio neto</t>
  </si>
  <si>
    <t>331000000  RNA EJERCICIO ANTERIOR</t>
  </si>
  <si>
    <t>332000000  RESULTADO DEL EJERCICIO</t>
  </si>
  <si>
    <t>333000000  A.R.E.A</t>
  </si>
  <si>
    <t>Resultados</t>
  </si>
  <si>
    <t>4110100000  SERVICIOS PRESTADOS</t>
  </si>
  <si>
    <t>4120200000  DIFERENCIA DE COTIZACIÓN</t>
  </si>
  <si>
    <t>4231100000  RESULTADO POR TENENCIA FCI</t>
  </si>
  <si>
    <t>RECUPERO DE GASTOS</t>
  </si>
  <si>
    <t>412020000  DIFERENCIA DE COTIZACION</t>
  </si>
  <si>
    <t>4120400000  RECUPERO DE SINIESTRO</t>
  </si>
  <si>
    <t>4120300000  VENTA RODADO</t>
  </si>
  <si>
    <t>4120500000  INTERESES GANADOS</t>
  </si>
  <si>
    <t>421010000  GASTOS GENERALES</t>
  </si>
  <si>
    <t>4210200000  MOVILIDAD Y VIÁTICOS</t>
  </si>
  <si>
    <t>4210300000  SUELDOS</t>
  </si>
  <si>
    <t>4210400000  HONORARIOS PROFESIONALES</t>
  </si>
  <si>
    <t>4210500000  LIBRERÍA</t>
  </si>
  <si>
    <t>4224100000  INDEMNIZACION POR DESPIDO</t>
  </si>
  <si>
    <t>4210600000  CONTRIBUCIONES PATRONALES</t>
  </si>
  <si>
    <t>4211200000  GASTOS EN EQ TELEFÓNICOS</t>
  </si>
  <si>
    <t>421080000  ADICIONAL OBRA SOCIAL</t>
  </si>
  <si>
    <t>421090000  GASTOS PC</t>
  </si>
  <si>
    <t>421110000  REDONDEO</t>
  </si>
  <si>
    <t>421120000  GASTOS TELEFONICOS</t>
  </si>
  <si>
    <t>421130000  GASTOS OBRA SOCIAL</t>
  </si>
  <si>
    <t>421140000  Gastos en Tramites</t>
  </si>
  <si>
    <t>421150000  Honorarios Directores</t>
  </si>
  <si>
    <t>421160000  SERVICIO DE LIMPIEZA</t>
  </si>
  <si>
    <t>421170000  GASTOS CAPACITACION</t>
  </si>
  <si>
    <t>4211800000  REPARACIONES</t>
  </si>
  <si>
    <t>4210700000  MANTENIMIENTO DE MÁQUINAS</t>
  </si>
  <si>
    <t>4212000000  MANTENIMIENTO</t>
  </si>
  <si>
    <t>4212100000  FLETES</t>
  </si>
  <si>
    <t>421220000  LEGALIZACIONES</t>
  </si>
  <si>
    <t>421230000  GASTOS VARIOS PERSONAL</t>
  </si>
  <si>
    <t>4212400000  AUTÓNOMOS DIRECTORES</t>
  </si>
  <si>
    <t>4212500000  AMORTIZACIONES</t>
  </si>
  <si>
    <t>4212600000  AGUA</t>
  </si>
  <si>
    <t>4212700000  ALQUILER FOTOCOPIADORA</t>
  </si>
  <si>
    <t>4213200000  ACUERDO SECLO</t>
  </si>
  <si>
    <t>4213300000  SALARIO COMPLEMENTARIO DEL DECRETO 332/20</t>
  </si>
  <si>
    <t>4213100000  GRATIFICACIONES</t>
  </si>
  <si>
    <t>4213000000  ALQUILER OFICINA MÓVIL</t>
  </si>
  <si>
    <t>4214000000  GASTOS MÉDICOS</t>
  </si>
  <si>
    <t>4215000000  HONORARIOS LEGALES</t>
  </si>
  <si>
    <t>4218000000  GASTOS HOTELERÍA</t>
  </si>
  <si>
    <t>4219000000  GASTOS GESTORIA</t>
  </si>
  <si>
    <t>4216000000  HABILITACIONES</t>
  </si>
  <si>
    <t>4217000000  SELLADOS</t>
  </si>
  <si>
    <t>4212900000  TASAS IGJ</t>
  </si>
  <si>
    <t>4220100000  SEGUROS</t>
  </si>
  <si>
    <t>4220200000  COMUNICACIONES</t>
  </si>
  <si>
    <t>422030000  LOCOMOCION</t>
  </si>
  <si>
    <t>422040000  CUSTODIA</t>
  </si>
  <si>
    <t>4220500000  DESPACHANTE</t>
  </si>
  <si>
    <t>4220600000  MANTENIMIENTO DE FLOTA</t>
  </si>
  <si>
    <t>4221600000  REPARACIONES FLOTA</t>
  </si>
  <si>
    <t>4220700000  COMBUSTIBLE</t>
  </si>
  <si>
    <t>422080000  LAVADO DE FLOTA</t>
  </si>
  <si>
    <t>422090000  MENSAJERIA</t>
  </si>
  <si>
    <t>4221000000  PEAJES</t>
  </si>
  <si>
    <t>4221100000  ESTACIONAMIENTO</t>
  </si>
  <si>
    <t>422120000  CNRT</t>
  </si>
  <si>
    <t>4221300000  GASTOS VARIOS</t>
  </si>
  <si>
    <t>4221400000  SEGURIDAD Y VIGILANCIA</t>
  </si>
  <si>
    <t>4221500000  REFRIGERIOS</t>
  </si>
  <si>
    <t>422160000  REPARACIONES FLOTA</t>
  </si>
  <si>
    <t>422170100  FLETES</t>
  </si>
  <si>
    <t>422170200  GTOS PLAYA  ESTADIAS</t>
  </si>
  <si>
    <t>4221800000  MULTAS</t>
  </si>
  <si>
    <t>4221900000  GASTOS DE REPRESENTACIÓN</t>
  </si>
  <si>
    <t>4222000000  GASTOS DE LOGÍSTICA</t>
  </si>
  <si>
    <t>4223000000  BS PERSONALES ACC Y PARTICIPACIONES</t>
  </si>
  <si>
    <t>422210000  ALQUILER DE AUTOS</t>
  </si>
  <si>
    <t>422220000  ACCIDENTES</t>
  </si>
  <si>
    <t>422230000  SINIESTROS</t>
  </si>
  <si>
    <t>4222400000  DONACIONES</t>
  </si>
  <si>
    <t>4222900000  ROPA DE TRABAJO</t>
  </si>
  <si>
    <t>422250000  ESTIBAJES</t>
  </si>
  <si>
    <t>422260000  ALQUILER DPTO</t>
  </si>
  <si>
    <t>422270000  COMISIONES</t>
  </si>
  <si>
    <t>422280000  ALQUILER COCHERA</t>
  </si>
  <si>
    <t>422290000  ROPA DE TRABAJO</t>
  </si>
  <si>
    <t>422200000  GASTOS DE LOGISTICA</t>
  </si>
  <si>
    <t>422300000  IMP BIENES SOCIEDADES</t>
  </si>
  <si>
    <t>422310000  PATENTES</t>
  </si>
  <si>
    <t>4223200000  TASAS SENASA</t>
  </si>
  <si>
    <t>4224200000  GASTOS DE PUBLICIDAD</t>
  </si>
  <si>
    <t>422330000 JUICIOS</t>
  </si>
  <si>
    <t>4223400000  GASTOS VARIOS CLIENTES</t>
  </si>
  <si>
    <t>4223500000  VERIFICACIÓN TÉCNICA VEHICULAR</t>
  </si>
  <si>
    <t>4226000000  ADELANTO DE VIAJE</t>
  </si>
  <si>
    <t>4225000000  CESIÓN DE DERECHOS</t>
  </si>
  <si>
    <t>4223600000  DEUDORES INCOBRABLES</t>
  </si>
  <si>
    <t>4223700000  VERIFICACIÓN POLICIAL</t>
  </si>
  <si>
    <t>4223800000  AJUSTE SALDO CLIENTE</t>
  </si>
  <si>
    <t>4223900000  GS ROPA DE TRABAJO</t>
  </si>
  <si>
    <t>4230100000  GASTOS Y COMISIONES BANCARIOS</t>
  </si>
  <si>
    <t>423020000  IMP A LOS DEBITOS</t>
  </si>
  <si>
    <t>423030000  IMP A LOS CREDITOS</t>
  </si>
  <si>
    <t>4230400000  INTERESES RESARCITORIOS</t>
  </si>
  <si>
    <t>4230500000  LEASING</t>
  </si>
  <si>
    <t>4230800000  IMPUESTOS VARIOS</t>
  </si>
  <si>
    <t>4230900000  IMPUESTOS AL CHEQUE</t>
  </si>
  <si>
    <t>4230700000  EMBARGO RADICACIÓN VEHICULAR</t>
  </si>
  <si>
    <t>4240100000  COMBUSTIBLE</t>
  </si>
  <si>
    <t>4228000000 SERVICIO DE TRANSPORTE Y ALMACENAMIENTO</t>
  </si>
  <si>
    <t>4212800000  TASAS AFIP</t>
  </si>
  <si>
    <t>4231200000  INTERESES FINANCIEROS</t>
  </si>
  <si>
    <t>4231000000  RECPAM</t>
  </si>
  <si>
    <t>TRANSPORTES FURLONG S.A</t>
  </si>
  <si>
    <t>31 de Julio de 2026</t>
  </si>
  <si>
    <t>Estado de Situación Patrimonial</t>
  </si>
  <si>
    <t>ACTIVO:</t>
  </si>
  <si>
    <t>PASIVO</t>
  </si>
  <si>
    <t>ACTIVO CORRIENTE</t>
  </si>
  <si>
    <t>PASIVO CORRIENTE</t>
  </si>
  <si>
    <t>Caja y bancos (Nota 4.a)</t>
  </si>
  <si>
    <t>Deudas</t>
  </si>
  <si>
    <t xml:space="preserve">Creditos comerciales </t>
  </si>
  <si>
    <t xml:space="preserve">Deudas impositivas </t>
  </si>
  <si>
    <t xml:space="preserve">Creditos Impositivos </t>
  </si>
  <si>
    <t xml:space="preserve">Deudas accionistas </t>
  </si>
  <si>
    <t>Inversiones temporarias (Nota 4.b)</t>
  </si>
  <si>
    <t>Comerciales (Nota 4.e)</t>
  </si>
  <si>
    <t>Otras deudas (Nota 4.f)</t>
  </si>
  <si>
    <t>Créditos por ventas (Nota 4.c)</t>
  </si>
  <si>
    <t>Remuneraciones y cs.sociales (Nota 4.f)</t>
  </si>
  <si>
    <t>Cargas fiscales (Nota 4.h)</t>
  </si>
  <si>
    <t>Anticipos de clientes</t>
  </si>
  <si>
    <t>Dividendos a pagar</t>
  </si>
  <si>
    <t>Otras deudas (Nota 4.g)</t>
  </si>
  <si>
    <t xml:space="preserve">Otros Creditos (Nota 4.d) </t>
  </si>
  <si>
    <t>Total deudas</t>
  </si>
  <si>
    <t>Total del Activo corriente</t>
  </si>
  <si>
    <t>Total del Pasivo Corriente</t>
  </si>
  <si>
    <t>Total del Pasivo</t>
  </si>
  <si>
    <t>ACTIVO NO CORRIENTE</t>
  </si>
  <si>
    <t>Bienes de uso</t>
  </si>
  <si>
    <t>PATRIMONIO NETO (Según estado respec.)</t>
  </si>
  <si>
    <t>Total del Activo no corriente</t>
  </si>
  <si>
    <t>Total del Activo</t>
  </si>
  <si>
    <t>Total del Pasivo y Patrimonio Neto</t>
  </si>
  <si>
    <t>Estado de Resultados</t>
  </si>
  <si>
    <t>Ingresos por servicios prestados</t>
  </si>
  <si>
    <t>Gastos de comercialización (Anexo II)</t>
  </si>
  <si>
    <t>Gastos de administración (Anexo II)</t>
  </si>
  <si>
    <t>Gastos de financieros (Anexo II)</t>
  </si>
  <si>
    <t>Subtotal</t>
  </si>
  <si>
    <t>Resultado venta bienes de uso</t>
  </si>
  <si>
    <t>Recupero de Gastos</t>
  </si>
  <si>
    <t>Diferencia de cotización</t>
  </si>
  <si>
    <t>Intereses</t>
  </si>
  <si>
    <t>Otros ingresos</t>
  </si>
  <si>
    <t>Ganancia antes de impuesto</t>
  </si>
  <si>
    <t>Impuesto a las Ganancias</t>
  </si>
  <si>
    <t>Ganancia del ejercicio</t>
  </si>
  <si>
    <t>Estado de Evolución del Patrimonio Neto</t>
  </si>
  <si>
    <t xml:space="preserve">   </t>
  </si>
  <si>
    <t>CONCEPTO</t>
  </si>
  <si>
    <t xml:space="preserve">                                             Aportes de los propietarios</t>
  </si>
  <si>
    <t>Ganancias</t>
  </si>
  <si>
    <t>Reservadas</t>
  </si>
  <si>
    <t>Total del</t>
  </si>
  <si>
    <t>Capital</t>
  </si>
  <si>
    <t xml:space="preserve">Ajuste </t>
  </si>
  <si>
    <t>Total de</t>
  </si>
  <si>
    <t>Reserva</t>
  </si>
  <si>
    <t xml:space="preserve">Otras </t>
  </si>
  <si>
    <t>Aportes</t>
  </si>
  <si>
    <t>no</t>
  </si>
  <si>
    <t>patrimonio</t>
  </si>
  <si>
    <t>de Capital</t>
  </si>
  <si>
    <t>legal</t>
  </si>
  <si>
    <t>reservas</t>
  </si>
  <si>
    <t>Irrevocables</t>
  </si>
  <si>
    <t>asignados</t>
  </si>
  <si>
    <t>neto</t>
  </si>
  <si>
    <t>$</t>
  </si>
  <si>
    <t xml:space="preserve">                                                                                                                                                                                        </t>
  </si>
  <si>
    <t>Saldos al inicio del ejercicio</t>
  </si>
  <si>
    <t>Reasignación casa matriz</t>
  </si>
  <si>
    <t>Ganancia (Pérdida) del ejercicio</t>
  </si>
  <si>
    <t>Total al 31/7/26</t>
  </si>
  <si>
    <t>Total al 31.12.05</t>
  </si>
  <si>
    <t>Las notas y anexos adjuntos forman parte integrante de los estados contables</t>
  </si>
  <si>
    <t>Informe profesional por separado</t>
  </si>
  <si>
    <t>NOTA 4:</t>
  </si>
  <si>
    <t>COMPOSICION DE LOS RUBROS</t>
  </si>
  <si>
    <t>Al 31 de Julio del 2026 - cifras expresadas en Pesos</t>
  </si>
  <si>
    <t>ACTIVO</t>
  </si>
  <si>
    <t>Activo Corriente</t>
  </si>
  <si>
    <t>a.</t>
  </si>
  <si>
    <t>Caja y bancos</t>
  </si>
  <si>
    <t>- Caja</t>
  </si>
  <si>
    <t>- Fondo Fijo a rendir</t>
  </si>
  <si>
    <t xml:space="preserve">- Fondo Fijo </t>
  </si>
  <si>
    <t>- Banco Francés c/c</t>
  </si>
  <si>
    <t>- Cheques no depositados</t>
  </si>
  <si>
    <t>- Efectivo casa matriz</t>
  </si>
  <si>
    <t>- Fondo fijo SENASA</t>
  </si>
  <si>
    <t>- Fondo fijo Adelando PDT</t>
  </si>
  <si>
    <t>- Valores a depositar</t>
  </si>
  <si>
    <t>b.</t>
  </si>
  <si>
    <t>Inversiones temporarias</t>
  </si>
  <si>
    <t>- Plazo fijo</t>
  </si>
  <si>
    <t>- Fondo común de inversión BBVA</t>
  </si>
  <si>
    <t>- Intereses a dev Plazo Fijo</t>
  </si>
  <si>
    <t>c.</t>
  </si>
  <si>
    <t>Creditos por Ventas</t>
  </si>
  <si>
    <t>- Deudores por ventas</t>
  </si>
  <si>
    <t>Creditos impositivos</t>
  </si>
  <si>
    <t>- Retencion de Gcias.</t>
  </si>
  <si>
    <t>- Retenc. Suss</t>
  </si>
  <si>
    <t>- Reten. Ingresos Brutos</t>
  </si>
  <si>
    <t>- Percepcion y Retencion IVA</t>
  </si>
  <si>
    <t>- Crédito ley 25413</t>
  </si>
  <si>
    <t>d.</t>
  </si>
  <si>
    <t>Otros créditos</t>
  </si>
  <si>
    <t>- Transportes Furlong Uruguay</t>
  </si>
  <si>
    <t>- Transportes Furlong Cordoba</t>
  </si>
  <si>
    <t>- Adelanto de gastos</t>
  </si>
  <si>
    <t>- Adelantos Tomás Furlong</t>
  </si>
  <si>
    <t>- Adelantos PDT</t>
  </si>
  <si>
    <t>- Adelanto honorarios CF</t>
  </si>
  <si>
    <t>- Adelanto al personal</t>
  </si>
  <si>
    <t xml:space="preserve"> - Anticipo Combustible Velasco</t>
  </si>
  <si>
    <t>- Adelanto SAC</t>
  </si>
  <si>
    <t>- Anticipo de vacaciones</t>
  </si>
  <si>
    <t>- Seguros a devengar</t>
  </si>
  <si>
    <t>- Anticipos de Vacaciones</t>
  </si>
  <si>
    <t>- Préstamo Paccielo</t>
  </si>
  <si>
    <t>- Préstamo A Velasco</t>
  </si>
  <si>
    <t>- Préstamo Lorena Alves</t>
  </si>
  <si>
    <t>- Anticipo patentamientos</t>
  </si>
  <si>
    <t>- Donaciones</t>
  </si>
  <si>
    <t>- Seguros a Devengar</t>
  </si>
  <si>
    <t>- Adicional obral social</t>
  </si>
  <si>
    <t>- Honorarios Directores Tomas</t>
  </si>
  <si>
    <t>- Honorarios Directores</t>
  </si>
  <si>
    <t>- Prestamo Cuba</t>
  </si>
  <si>
    <t>31.03.04</t>
  </si>
  <si>
    <t>31.03.03</t>
  </si>
  <si>
    <t>Pasivo Corriente</t>
  </si>
  <si>
    <t>e.</t>
  </si>
  <si>
    <t>Deudas comerciales</t>
  </si>
  <si>
    <t>- Provisión Multas a Pagar</t>
  </si>
  <si>
    <t>- Provisión fletes esporádicos</t>
  </si>
  <si>
    <t>- Previsiones</t>
  </si>
  <si>
    <t>- Proveedores</t>
  </si>
  <si>
    <t>- Adelanto casa matriz</t>
  </si>
  <si>
    <t>- Adelanto de clientes</t>
  </si>
  <si>
    <t>- Siniestros a pagar</t>
  </si>
  <si>
    <t>- Prestamos Amx - Claro</t>
  </si>
  <si>
    <t>- Convenio HSBC</t>
  </si>
  <si>
    <t>- Rodados a patentar</t>
  </si>
  <si>
    <t>-Cheques Emitidos</t>
  </si>
  <si>
    <t>f.</t>
  </si>
  <si>
    <t>Otras deudas</t>
  </si>
  <si>
    <t>- Acuerdos CNRT a pagar</t>
  </si>
  <si>
    <t>- Prestamo Carlos Furlong</t>
  </si>
  <si>
    <t>- Prestamo Lorena Alves</t>
  </si>
  <si>
    <t>- Prestamo Vera</t>
  </si>
  <si>
    <t>Remuneraciones y cs. Sociales</t>
  </si>
  <si>
    <t>- SUSS a pagar</t>
  </si>
  <si>
    <t>- Sueldos a pagar</t>
  </si>
  <si>
    <t>h.</t>
  </si>
  <si>
    <t>Cargas Fiscales</t>
  </si>
  <si>
    <t xml:space="preserve">- Plan Mis Facilidades  </t>
  </si>
  <si>
    <t xml:space="preserve">- Interes a devengar </t>
  </si>
  <si>
    <t>- SICORE a pagar</t>
  </si>
  <si>
    <t xml:space="preserve">                                                                                                                                       B  I  E  N E S        D  E          U  S  O</t>
  </si>
  <si>
    <t>VALOR DE ORIGEN</t>
  </si>
  <si>
    <t>DEPRECIACIONES</t>
  </si>
  <si>
    <t xml:space="preserve">VALORES AL </t>
  </si>
  <si>
    <t xml:space="preserve">ACUMULADAS </t>
  </si>
  <si>
    <t>ALTAS</t>
  </si>
  <si>
    <t>DEL EJERCICIO</t>
  </si>
  <si>
    <t>ACUMULADAS</t>
  </si>
  <si>
    <t>NETO</t>
  </si>
  <si>
    <t xml:space="preserve">COMIENZO DEL </t>
  </si>
  <si>
    <t>AUMENTOS</t>
  </si>
  <si>
    <t xml:space="preserve">CIERRE DEL </t>
  </si>
  <si>
    <t>AL INICIO DEL</t>
  </si>
  <si>
    <t>BAJAS</t>
  </si>
  <si>
    <t>ALICUOTA</t>
  </si>
  <si>
    <t>MONTO</t>
  </si>
  <si>
    <t xml:space="preserve">AL CIERRE DEL </t>
  </si>
  <si>
    <t>RESULTANTE</t>
  </si>
  <si>
    <t>EJERCICIO</t>
  </si>
  <si>
    <t>Software</t>
  </si>
  <si>
    <t>Hardware</t>
  </si>
  <si>
    <t>Computadoras</t>
  </si>
  <si>
    <t>Equipos</t>
  </si>
  <si>
    <t>Muebles y Utiles</t>
  </si>
  <si>
    <t>Instalaciones</t>
  </si>
  <si>
    <t>Rodados</t>
  </si>
  <si>
    <t>ANEXO II</t>
  </si>
  <si>
    <t>Información Requerida por el Art. 64 Inc. b) de la Ley 19.550</t>
  </si>
  <si>
    <t>Anexo II</t>
  </si>
  <si>
    <t>TOTALES</t>
  </si>
  <si>
    <t xml:space="preserve">GASTOS </t>
  </si>
  <si>
    <t>GASTOS</t>
  </si>
  <si>
    <t xml:space="preserve">                           CONCEPTOS</t>
  </si>
  <si>
    <t>AL</t>
  </si>
  <si>
    <t xml:space="preserve">DE </t>
  </si>
  <si>
    <t>GASTOS ADM CTRAL</t>
  </si>
  <si>
    <t>GASTOS PACHECO</t>
  </si>
  <si>
    <t>GASTOS CORDOBA</t>
  </si>
  <si>
    <t>COSTOS TRANSPORTES</t>
  </si>
  <si>
    <t>TOTAL</t>
  </si>
  <si>
    <t>PAGOS ANTIC</t>
  </si>
  <si>
    <t>TRANF CASA MATRIZ</t>
  </si>
  <si>
    <t>TOTAL EGRESO</t>
  </si>
  <si>
    <t>ADMINISTRACION</t>
  </si>
  <si>
    <t>COMERCIALIZACION</t>
  </si>
  <si>
    <t>FINANCIEROS</t>
  </si>
  <si>
    <t>31.03.02</t>
  </si>
  <si>
    <t>Acuerdo Seclo</t>
  </si>
  <si>
    <t>Adelanto Viaje</t>
  </si>
  <si>
    <t>Alquiler de autos</t>
  </si>
  <si>
    <t>Alquiler cochera</t>
  </si>
  <si>
    <t>Alquiler dpto.</t>
  </si>
  <si>
    <t>Alquiler fotocopiadora</t>
  </si>
  <si>
    <t>Alquiler Oficina Móvil</t>
  </si>
  <si>
    <t>Amortizaciones</t>
  </si>
  <si>
    <t>Almuerzos</t>
  </si>
  <si>
    <t>Autónomos Directores</t>
  </si>
  <si>
    <t>Agua</t>
  </si>
  <si>
    <t>Ajuste saldo proveedores</t>
  </si>
  <si>
    <t>Bs Personales Acc. Y Participacion</t>
  </si>
  <si>
    <t>Sueldos</t>
  </si>
  <si>
    <t>Cargas Sociales</t>
  </si>
  <si>
    <t>Salario Complementario del Decreto 332/20</t>
  </si>
  <si>
    <t>Cesión de Derechos</t>
  </si>
  <si>
    <t>Comisiones</t>
  </si>
  <si>
    <t>Gastos varios clientes</t>
  </si>
  <si>
    <t>Verificación Técnica Vehicular</t>
  </si>
  <si>
    <t>Accidentes</t>
  </si>
  <si>
    <t>OBRA SOCIAL</t>
  </si>
  <si>
    <t>ACA ES LA FACTURA QUE SE VA A PAGAR EL MES PRÓXIMO SE INCLUYE EN CARGAS SOCIALES (EN EL BALANCE)</t>
  </si>
  <si>
    <t>C SOCIALES</t>
  </si>
  <si>
    <t>CORRESPONDE AL MES DE MAYO / SE PAGA EN JUNIO</t>
  </si>
  <si>
    <t>Telefonos</t>
  </si>
  <si>
    <t>Librería</t>
  </si>
  <si>
    <t>Leasing</t>
  </si>
  <si>
    <t>ALQUILER</t>
  </si>
  <si>
    <t>Viaticos</t>
  </si>
  <si>
    <t>Repuestos y reparaciones</t>
  </si>
  <si>
    <t>Catering</t>
  </si>
  <si>
    <t>COMIDA</t>
  </si>
  <si>
    <t>CNRT</t>
  </si>
  <si>
    <t>MULTAS</t>
  </si>
  <si>
    <t>Gastos bancarios</t>
  </si>
  <si>
    <t>F. FIJOS FORD/VW/PTO 14</t>
  </si>
  <si>
    <t>SON FACTURAS DE COMBUSTIBLE / POR ESO SE SUMA EN COMBUSTIBLES</t>
  </si>
  <si>
    <t>Combustible</t>
  </si>
  <si>
    <t>COMBUSTIBLE</t>
  </si>
  <si>
    <t>Comunicaciones</t>
  </si>
  <si>
    <t>TELEFONOS</t>
  </si>
  <si>
    <t>HAY CARGADAS 2 FACTURAS VIEJAS DE NEXTEL QUE NO ESTABAN</t>
  </si>
  <si>
    <t>Correo</t>
  </si>
  <si>
    <t>Custodia</t>
  </si>
  <si>
    <t>Despachantes</t>
  </si>
  <si>
    <t>DESPACHANTES</t>
  </si>
  <si>
    <t>Donaciones</t>
  </si>
  <si>
    <t>Publicidad</t>
  </si>
  <si>
    <t>Estadía</t>
  </si>
  <si>
    <t>Estacionamiento</t>
  </si>
  <si>
    <t>Estibajes</t>
  </si>
  <si>
    <t>ESTIBAJES</t>
  </si>
  <si>
    <t>Embargo Rdicación Vehicular</t>
  </si>
  <si>
    <t>Fletes</t>
  </si>
  <si>
    <t>TRANSPORTES</t>
  </si>
  <si>
    <t>ACA QUEDA LA DIFERENCIA DE PROVISION</t>
  </si>
  <si>
    <t>Gastos Capacitación</t>
  </si>
  <si>
    <t>Gastos Medicos</t>
  </si>
  <si>
    <t>Gastos de Representación</t>
  </si>
  <si>
    <t>TOMAS (FF Y VISA)</t>
  </si>
  <si>
    <t xml:space="preserve">Gastos Generales </t>
  </si>
  <si>
    <t>Gastos de instalación</t>
  </si>
  <si>
    <t>Gs Ropa de Trabajo</t>
  </si>
  <si>
    <t>Gastos trámites</t>
  </si>
  <si>
    <t>Gastos PC</t>
  </si>
  <si>
    <t>Gastos varios</t>
  </si>
  <si>
    <t>VARIOS</t>
  </si>
  <si>
    <t>Gastos varios personal</t>
  </si>
  <si>
    <t>Gastos y comisiones bancarias</t>
  </si>
  <si>
    <t>GASTOS BANCARIOS</t>
  </si>
  <si>
    <t>Gastos Obra Social</t>
  </si>
  <si>
    <t>Gastos Hotelería</t>
  </si>
  <si>
    <t>Gastos Gestoria</t>
  </si>
  <si>
    <t>Habilitaciones</t>
  </si>
  <si>
    <t>Honorarios director</t>
  </si>
  <si>
    <t>Honorarios profesionales</t>
  </si>
  <si>
    <t>HONORARIOS</t>
  </si>
  <si>
    <t>Honorarios Legales</t>
  </si>
  <si>
    <t>Imp. A los créditos</t>
  </si>
  <si>
    <t>Imp. A los débitos</t>
  </si>
  <si>
    <t>Imp. Bienes Sociedades</t>
  </si>
  <si>
    <t>IMPUESTOS</t>
  </si>
  <si>
    <t>Intereses resarcitorios</t>
  </si>
  <si>
    <t>Impuestos varios</t>
  </si>
  <si>
    <t>Impuestos al Cheuque</t>
  </si>
  <si>
    <t>Juicios</t>
  </si>
  <si>
    <t>Indemnizaciones</t>
  </si>
  <si>
    <t>LIBRERÍA</t>
  </si>
  <si>
    <t xml:space="preserve">SE REGISTRAN LAS FC X FECHA DE EMISION </t>
  </si>
  <si>
    <t>Legalizaciones</t>
  </si>
  <si>
    <t>LEGALIZACIONES</t>
  </si>
  <si>
    <t>Locomoción</t>
  </si>
  <si>
    <t>Logística</t>
  </si>
  <si>
    <t>Mantenimiento</t>
  </si>
  <si>
    <t>MANTENIMIENTO</t>
  </si>
  <si>
    <t>Mantenimiento de flota</t>
  </si>
  <si>
    <t>Reparaciones de flota</t>
  </si>
  <si>
    <t>Mantenimiento de maquinas</t>
  </si>
  <si>
    <t>Mensajería</t>
  </si>
  <si>
    <t>MENSAJERIA</t>
  </si>
  <si>
    <t>Medicina Laboral</t>
  </si>
  <si>
    <t>Molilidad y viáticos</t>
  </si>
  <si>
    <t xml:space="preserve">Multas </t>
  </si>
  <si>
    <t>Gastos de logistica</t>
  </si>
  <si>
    <t>Patentes</t>
  </si>
  <si>
    <t>PATENTES</t>
  </si>
  <si>
    <t>SE PAGARAN EL MES PROXIMO</t>
  </si>
  <si>
    <t>Peajes</t>
  </si>
  <si>
    <t>Reparaciones</t>
  </si>
  <si>
    <t>Refrigerios</t>
  </si>
  <si>
    <t>FONDOS FIJOS</t>
  </si>
  <si>
    <t>Ropa de trabajo</t>
  </si>
  <si>
    <t>Seguros</t>
  </si>
  <si>
    <t>SEGUROS</t>
  </si>
  <si>
    <t>Seguridad</t>
  </si>
  <si>
    <t>ANTICIPOS</t>
  </si>
  <si>
    <t>Servicio de limpieza</t>
  </si>
  <si>
    <t>FUMIGACION</t>
  </si>
  <si>
    <t>Deudores Incobrables</t>
  </si>
  <si>
    <t>Sellados</t>
  </si>
  <si>
    <t>Siniestros</t>
  </si>
  <si>
    <t>SALARIOS</t>
  </si>
  <si>
    <t>ACA VA EL TOTAL DE LOS SUELDOS BRUTOS (EN PAGOS EL NETO)</t>
  </si>
  <si>
    <t>Verificación Policial</t>
  </si>
  <si>
    <t>Viajes y Estadías</t>
  </si>
  <si>
    <t>Serv de transporte y almacenamiento</t>
  </si>
  <si>
    <t>Tasas AFIP</t>
  </si>
  <si>
    <t>Tasas IGJ</t>
  </si>
  <si>
    <t xml:space="preserve"> R.E.C.P.A.M.</t>
  </si>
  <si>
    <t>Tasas SENASA</t>
  </si>
  <si>
    <t>SENASA</t>
  </si>
  <si>
    <t>ACA ES LA FACTURA QUE SE VA A PAGAR EL MES PRÓXIMO</t>
  </si>
  <si>
    <t>Total al 31.12.2025</t>
  </si>
  <si>
    <t>VIAJES</t>
  </si>
  <si>
    <t>MODIFICAR</t>
  </si>
  <si>
    <t>POR VIAJE</t>
  </si>
  <si>
    <t>TOTAL GASTOS BALANCE</t>
  </si>
  <si>
    <t>TOTAL PAGOS</t>
  </si>
  <si>
    <t>DIFERENCIA</t>
  </si>
  <si>
    <t>ADELANTOS CASA MATRIZ</t>
  </si>
  <si>
    <t>TRANSFERENCIAS</t>
  </si>
  <si>
    <t>ESSO</t>
  </si>
  <si>
    <t>ADELANTOS</t>
  </si>
  <si>
    <t>TRANSPORTISTAS</t>
  </si>
  <si>
    <t>DIFERENCIA EN SUELDOS (NETO VS BRUTO)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</si>
</sst>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 * #,##0.00_ ;_ * -#,##0.00_ ;_ * &quot;-&quot;??_ ;_ @_ "/>
    <numFmt numFmtId="165" formatCode="#,##0.00_);(#,##0.00)"/>
    <numFmt numFmtId="166" formatCode="_-* #,##0.00 _€_-;-* #,##0.00 _€_-;_-* &quot;-&quot;?? _€_-;_-@_-"/>
    <numFmt numFmtId="167" formatCode="_-* #,##0.00_-;-* #,##0.00_-;_-* &quot;-&quot;??_-;_-@_-"/>
    <numFmt numFmtId="168" formatCode="_ &quot;$&quot; * #,##0.00_ ;_ &quot;$&quot; * -#,##0.00_ ;_ &quot;$&quot; * &quot;-&quot;??_ ;_ @_ "/>
    <numFmt numFmtId="169" formatCode="_-&quot;$&quot; * #,##0.00_-;-&quot;$&quot; * #,##0.00_-;_-&quot;$&quot; * &quot;-&quot;??_-;_-@_-"/>
    <numFmt numFmtId="170" formatCode="0.00000"/>
    <numFmt numFmtId="171" formatCode="dd/mm/yy;@"/>
    <numFmt numFmtId="172" formatCode="#,##0.00_ ;-#,##0.00 "/>
    <numFmt numFmtId="173" formatCode="_(* #,##0_);_(* (#,##0);_(* &quot;-&quot;??_);_(@_)"/>
  </numFmts>
  <fonts count="21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family val="2"/>
      <sz val="10"/>
      <name val="Arial"/>
    </font>
    <font>
      <sz val="10"/>
      <name val="Century Gothic"/>
    </font>
    <font>
      <family val="2"/>
      <sz val="9"/>
      <name val="Arial"/>
    </font>
    <font>
      <family val="1"/>
      <sz val="9"/>
      <name val="Bookman Old Style"/>
    </font>
    <font>
      <b/>
      <family val="1"/>
      <sz val="9"/>
      <name val="Bookman Old Style"/>
    </font>
    <font>
      <b/>
      <color indexed="8"/>
      <family val="2"/>
      <sz val="8"/>
      <name val="Arial"/>
    </font>
    <font>
      <color rgb="FFFF0000"/>
      <family val="2"/>
      <sz val="9"/>
      <name val="Arial"/>
    </font>
    <font>
      <family val="2"/>
      <sz val="10"/>
      <name val="Century Gothic"/>
    </font>
    <font>
      <color rgb="FFFF0000"/>
      <family val="2"/>
      <sz val="10"/>
      <name val="Century Gothic"/>
    </font>
    <font>
      <b/>
      <family val="2"/>
      <sz val="12"/>
      <name val="Arial"/>
    </font>
    <font>
      <family val="1"/>
      <sz val="10"/>
      <name val="Bookman Old Style"/>
    </font>
    <font>
      <b/>
      <family val="1"/>
      <sz val="10"/>
      <name val="Bookman Old Style"/>
    </font>
    <font>
      <b/>
      <family val="1"/>
      <sz val="12"/>
      <name val="Bookman Old Style"/>
    </font>
    <font>
      <family val="2"/>
      <sz val="8"/>
      <name val="Arial"/>
    </font>
    <font>
      <b/>
      <family val="2"/>
      <sz val="8"/>
      <name val="Arial"/>
    </font>
    <font>
      <u/>
      <family val="2"/>
      <sz val="8"/>
      <name val="Arial"/>
    </font>
    <font>
      <color indexed="8"/>
      <family val="2"/>
      <sz val="8"/>
      <name val="Arial"/>
    </font>
    <font>
      <b/>
      <family val="2"/>
      <sz val="9"/>
      <name val="Arial"/>
    </font>
    <font>
      <color indexed="10"/>
      <family val="1"/>
      <sz val="10"/>
      <name val="Bookman Old Style"/>
    </font>
  </fonts>
  <fills count="2">
    <fill>
      <patternFill patternType="none"/>
    </fill>
    <fill>
      <patternFill patternType="gray125"/>
    </fill>
  </fills>
  <borders count="58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3">
    <xf numFmtId="0" fontId="0" fillId="0" borderId="0" xfId="0"/>
    <xf numFmtId="164" fontId="1" fillId="0" borderId="0" xfId="0" applyNumberFormat="1" applyFont="1"/>
    <xf numFmtId="4" fontId="1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0" xfId="0" applyFont="1"/>
    <xf numFmtId="0" fontId="5" fillId="0" borderId="6" xfId="0" applyFont="1" applyBorder="1"/>
    <xf numFmtId="14" fontId="5" fillId="0" borderId="7" xfId="0" applyNumberFormat="1" applyFont="1" applyBorder="1" applyAlignment="1">
      <alignment horizontal="center"/>
    </xf>
    <xf numFmtId="14" fontId="5" fillId="0" borderId="8" xfId="0" applyNumberFormat="1" applyFont="1" applyBorder="1" applyAlignment="1">
      <alignment horizontal="center"/>
    </xf>
    <xf numFmtId="14" fontId="5" fillId="0" borderId="9" xfId="0" applyNumberFormat="1" applyFont="1" applyBorder="1"/>
    <xf numFmtId="0" fontId="6" fillId="0" borderId="0" xfId="0" applyFont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164" fontId="5" fillId="0" borderId="7" xfId="0" applyNumberFormat="1" applyFont="1" applyBorder="1"/>
    <xf numFmtId="164" fontId="5" fillId="0" borderId="0" xfId="0" applyNumberFormat="1" applyFont="1"/>
    <xf numFmtId="164" fontId="5" fillId="0" borderId="8" xfId="0" applyNumberFormat="1" applyFont="1" applyBorder="1"/>
    <xf numFmtId="4" fontId="5" fillId="0" borderId="0" xfId="0" applyNumberFormat="1" applyFont="1"/>
    <xf numFmtId="0" fontId="5" fillId="0" borderId="13" xfId="0" applyFont="1" applyBorder="1"/>
    <xf numFmtId="4" fontId="7" fillId="0" borderId="0" xfId="0" applyNumberFormat="1" applyFont="1" applyAlignment="1">
      <alignment horizontal="right" vertical="top"/>
    </xf>
    <xf numFmtId="164" fontId="5" fillId="0" borderId="14" xfId="0" applyNumberFormat="1" applyFont="1" applyBorder="1"/>
    <xf numFmtId="164" fontId="6" fillId="0" borderId="0" xfId="0" applyNumberFormat="1" applyFont="1"/>
    <xf numFmtId="164" fontId="5" fillId="0" borderId="15" xfId="0" applyNumberFormat="1" applyFont="1" applyBorder="1"/>
    <xf numFmtId="4" fontId="5" fillId="0" borderId="13" xfId="0" applyNumberFormat="1" applyFont="1" applyBorder="1"/>
    <xf numFmtId="164" fontId="5" fillId="0" borderId="11" xfId="0" applyNumberFormat="1" applyFont="1" applyBorder="1"/>
    <xf numFmtId="166" fontId="5" fillId="0" borderId="0" xfId="0" applyNumberFormat="1" applyFont="1"/>
    <xf numFmtId="4" fontId="5" fillId="0" borderId="9" xfId="0" applyNumberFormat="1" applyFont="1" applyBorder="1"/>
    <xf numFmtId="165" fontId="7" fillId="0" borderId="0" xfId="0" applyNumberFormat="1" applyFont="1" applyAlignment="1">
      <alignment horizontal="right" vertical="top"/>
    </xf>
    <xf numFmtId="0" fontId="5" fillId="0" borderId="16" xfId="0" applyFont="1" applyBorder="1"/>
    <xf numFmtId="0" fontId="5" fillId="0" borderId="17" xfId="0" applyFont="1" applyBorder="1"/>
    <xf numFmtId="0" fontId="6" fillId="0" borderId="17" xfId="0" applyFont="1" applyBorder="1"/>
    <xf numFmtId="164" fontId="5" fillId="0" borderId="18" xfId="0" applyNumberFormat="1" applyFont="1" applyBorder="1"/>
    <xf numFmtId="164" fontId="5" fillId="0" borderId="17" xfId="0" applyNumberFormat="1" applyFont="1" applyBorder="1"/>
    <xf numFmtId="164" fontId="6" fillId="0" borderId="17" xfId="0" applyNumberFormat="1" applyFont="1" applyBorder="1"/>
    <xf numFmtId="164" fontId="5" fillId="0" borderId="19" xfId="0" applyNumberFormat="1" applyFont="1" applyBorder="1"/>
    <xf numFmtId="0" fontId="5" fillId="0" borderId="20" xfId="0" applyFont="1" applyBorder="1"/>
    <xf numFmtId="167" fontId="4" fillId="0" borderId="0" xfId="0" applyNumberFormat="1" applyFont="1"/>
    <xf numFmtId="164" fontId="8" fillId="0" borderId="0" xfId="0" applyNumberFormat="1" applyFont="1"/>
    <xf numFmtId="164" fontId="4" fillId="0" borderId="0" xfId="0" applyNumberFormat="1" applyFont="1"/>
    <xf numFmtId="4" fontId="9" fillId="0" borderId="0" xfId="0" applyNumberFormat="1" applyFont="1"/>
    <xf numFmtId="4" fontId="3" fillId="0" borderId="0" xfId="0" applyNumberFormat="1" applyFont="1"/>
    <xf numFmtId="4" fontId="10" fillId="0" borderId="0" xfId="0" applyNumberFormat="1" applyFont="1"/>
    <xf numFmtId="167" fontId="3" fillId="0" borderId="0" xfId="0" applyNumberFormat="1" applyFont="1" applyAlignment="1">
      <alignment vertical="top"/>
    </xf>
    <xf numFmtId="164" fontId="3" fillId="0" borderId="0" xfId="0" applyNumberFormat="1" applyFont="1"/>
    <xf numFmtId="164" fontId="10" fillId="0" borderId="0" xfId="0" applyNumberFormat="1" applyFont="1"/>
    <xf numFmtId="168" fontId="7" fillId="0" borderId="0" xfId="0" applyNumberFormat="1" applyFont="1" applyAlignment="1">
      <alignment horizontal="right" vertical="top"/>
    </xf>
    <xf numFmtId="169" fontId="3" fillId="0" borderId="0" xfId="0" applyNumberFormat="1" applyFont="1"/>
    <xf numFmtId="0" fontId="2" fillId="0" borderId="0" xfId="0" applyFont="1"/>
    <xf numFmtId="0" fontId="3" fillId="0" borderId="5" xfId="0" applyFont="1" applyBorder="1"/>
    <xf numFmtId="14" fontId="3" fillId="0" borderId="9" xfId="0" applyNumberFormat="1" applyFont="1" applyBorder="1"/>
    <xf numFmtId="0" fontId="3" fillId="0" borderId="12" xfId="0" applyFont="1" applyBorder="1"/>
    <xf numFmtId="0" fontId="3" fillId="0" borderId="9" xfId="0" applyFont="1" applyBorder="1"/>
    <xf numFmtId="4" fontId="3" fillId="0" borderId="9" xfId="0" applyNumberFormat="1" applyFont="1" applyBorder="1"/>
    <xf numFmtId="165" fontId="7" fillId="0" borderId="0" xfId="0" applyNumberFormat="1" applyFont="1" applyAlignment="1">
      <alignment horizontal="center" vertical="center"/>
    </xf>
    <xf numFmtId="0" fontId="3" fillId="0" borderId="20" xfId="0" applyFont="1" applyBorder="1"/>
    <xf numFmtId="0" fontId="9" fillId="0" borderId="0" xfId="0" applyFont="1"/>
    <xf numFmtId="0" fontId="11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  <xf numFmtId="0" fontId="12" fillId="0" borderId="1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14" fontId="12" fillId="0" borderId="22" xfId="0" applyNumberFormat="1" applyFont="1" applyBorder="1" applyAlignment="1">
      <alignment horizontal="center"/>
    </xf>
    <xf numFmtId="14" fontId="12" fillId="0" borderId="23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6" xfId="0" applyFont="1" applyBorder="1"/>
    <xf numFmtId="0" fontId="12" fillId="0" borderId="27" xfId="0" applyFont="1" applyBorder="1"/>
    <xf numFmtId="0" fontId="12" fillId="0" borderId="7" xfId="0" applyFont="1" applyBorder="1"/>
    <xf numFmtId="0" fontId="12" fillId="0" borderId="8" xfId="0" applyFont="1" applyBorder="1"/>
    <xf numFmtId="0" fontId="12" fillId="0" borderId="9" xfId="0" applyFont="1" applyBorder="1"/>
    <xf numFmtId="164" fontId="12" fillId="0" borderId="7" xfId="0" applyNumberFormat="1" applyFont="1" applyBorder="1"/>
    <xf numFmtId="164" fontId="12" fillId="0" borderId="8" xfId="0" applyNumberFormat="1" applyFont="1" applyBorder="1"/>
    <xf numFmtId="4" fontId="12" fillId="0" borderId="9" xfId="0" applyNumberFormat="1" applyFont="1" applyBorder="1"/>
    <xf numFmtId="164" fontId="12" fillId="0" borderId="29" xfId="0" applyNumberFormat="1" applyFont="1" applyBorder="1"/>
    <xf numFmtId="164" fontId="12" fillId="0" borderId="30" xfId="0" applyNumberFormat="1" applyFont="1" applyBorder="1"/>
    <xf numFmtId="4" fontId="12" fillId="0" borderId="31" xfId="0" applyNumberFormat="1" applyFont="1" applyBorder="1"/>
    <xf numFmtId="0" fontId="12" fillId="0" borderId="32" xfId="0" applyFont="1" applyBorder="1"/>
    <xf numFmtId="0" fontId="12" fillId="0" borderId="16" xfId="0" applyFont="1" applyBorder="1"/>
    <xf numFmtId="0" fontId="12" fillId="0" borderId="33" xfId="0" applyFont="1" applyBorder="1"/>
    <xf numFmtId="4" fontId="12" fillId="0" borderId="34" xfId="0" applyNumberFormat="1" applyFont="1" applyBorder="1"/>
    <xf numFmtId="0" fontId="12" fillId="0" borderId="17" xfId="0" applyFont="1" applyBorder="1"/>
    <xf numFmtId="164" fontId="12" fillId="0" borderId="18" xfId="0" applyNumberFormat="1" applyFont="1" applyBorder="1"/>
    <xf numFmtId="2" fontId="12" fillId="0" borderId="18" xfId="0" applyNumberFormat="1" applyFont="1" applyBorder="1"/>
    <xf numFmtId="164" fontId="12" fillId="0" borderId="35" xfId="0" applyNumberFormat="1" applyFont="1" applyBorder="1"/>
    <xf numFmtId="164" fontId="12" fillId="0" borderId="19" xfId="0" applyNumberFormat="1" applyFont="1" applyBorder="1"/>
    <xf numFmtId="4" fontId="12" fillId="0" borderId="0" xfId="0" applyNumberFormat="1" applyFont="1"/>
    <xf numFmtId="164" fontId="12" fillId="0" borderId="0" xfId="0" applyNumberFormat="1" applyFont="1"/>
    <xf numFmtId="2" fontId="12" fillId="0" borderId="0" xfId="0" applyNumberFormat="1" applyFont="1"/>
    <xf numFmtId="170" fontId="12" fillId="0" borderId="0" xfId="0" applyNumberFormat="1" applyFont="1"/>
    <xf numFmtId="0" fontId="14" fillId="0" borderId="0" xfId="0" applyFont="1"/>
    <xf numFmtId="0" fontId="15" fillId="0" borderId="0" xfId="0" applyFont="1"/>
    <xf numFmtId="171" fontId="15" fillId="0" borderId="36" xfId="0" applyNumberFormat="1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171" fontId="12" fillId="0" borderId="36" xfId="0" applyNumberFormat="1" applyFont="1" applyBorder="1" applyAlignment="1">
      <alignment horizontal="center"/>
    </xf>
    <xf numFmtId="0" fontId="16" fillId="0" borderId="0" xfId="0" applyFont="1"/>
    <xf numFmtId="0" fontId="17" fillId="0" borderId="0" xfId="0" applyFont="1"/>
    <xf numFmtId="4" fontId="15" fillId="0" borderId="0" xfId="0" applyNumberFormat="1" applyFont="1"/>
    <xf numFmtId="164" fontId="15" fillId="0" borderId="0" xfId="0" applyNumberFormat="1" applyFont="1"/>
    <xf numFmtId="164" fontId="15" fillId="0" borderId="37" xfId="0" applyNumberFormat="1" applyFont="1" applyBorder="1"/>
    <xf numFmtId="14" fontId="15" fillId="0" borderId="36" xfId="0" applyNumberFormat="1" applyFont="1" applyBorder="1" applyAlignment="1">
      <alignment horizontal="center"/>
    </xf>
    <xf numFmtId="0" fontId="15" fillId="0" borderId="36" xfId="0" applyFont="1" applyBorder="1" applyAlignment="1">
      <alignment horizontal="center"/>
    </xf>
    <xf numFmtId="14" fontId="15" fillId="0" borderId="36" xfId="0" applyNumberFormat="1" applyFont="1" applyBorder="1"/>
    <xf numFmtId="4" fontId="15" fillId="0" borderId="17" xfId="0" applyNumberFormat="1" applyFont="1" applyBorder="1"/>
    <xf numFmtId="172" fontId="15" fillId="0" borderId="0" xfId="0" applyNumberFormat="1" applyFont="1"/>
    <xf numFmtId="4" fontId="15" fillId="0" borderId="37" xfId="0" applyNumberFormat="1" applyFont="1" applyBorder="1"/>
    <xf numFmtId="173" fontId="15" fillId="0" borderId="0" xfId="0" applyNumberFormat="1" applyFont="1"/>
    <xf numFmtId="0" fontId="15" fillId="0" borderId="0" xfId="0" applyFont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4" fillId="0" borderId="5" xfId="0" applyFont="1" applyBorder="1"/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6" xfId="0" applyFont="1" applyBorder="1"/>
    <xf numFmtId="0" fontId="4" fillId="0" borderId="9" xfId="0" applyFont="1" applyBorder="1"/>
    <xf numFmtId="0" fontId="4" fillId="0" borderId="28" xfId="0" applyFont="1" applyBorder="1"/>
    <xf numFmtId="0" fontId="4" fillId="0" borderId="36" xfId="0" applyFont="1" applyBorder="1"/>
    <xf numFmtId="0" fontId="4" fillId="0" borderId="12" xfId="0" applyFont="1" applyBorder="1"/>
    <xf numFmtId="0" fontId="4" fillId="0" borderId="38" xfId="0" applyFont="1" applyBorder="1"/>
    <xf numFmtId="0" fontId="4" fillId="0" borderId="27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32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0" fontId="4" fillId="0" borderId="43" xfId="0" applyFont="1" applyBorder="1"/>
    <xf numFmtId="0" fontId="4" fillId="0" borderId="10" xfId="0" applyFont="1" applyBorder="1"/>
    <xf numFmtId="0" fontId="4" fillId="0" borderId="11" xfId="0" applyFont="1" applyBorder="1"/>
    <xf numFmtId="164" fontId="4" fillId="0" borderId="7" xfId="0" applyNumberFormat="1" applyFont="1" applyBorder="1"/>
    <xf numFmtId="0" fontId="4" fillId="0" borderId="7" xfId="0" applyFont="1" applyBorder="1"/>
    <xf numFmtId="9" fontId="4" fillId="0" borderId="7" xfId="0" applyNumberFormat="1" applyFont="1" applyBorder="1" applyAlignment="1">
      <alignment horizontal="center"/>
    </xf>
    <xf numFmtId="164" fontId="4" fillId="0" borderId="8" xfId="0" applyNumberFormat="1" applyFont="1" applyBorder="1"/>
    <xf numFmtId="4" fontId="4" fillId="0" borderId="0" xfId="0" applyNumberFormat="1" applyFont="1"/>
    <xf numFmtId="4" fontId="4" fillId="0" borderId="7" xfId="0" applyNumberFormat="1" applyFont="1" applyBorder="1"/>
    <xf numFmtId="165" fontId="18" fillId="0" borderId="0" xfId="0" applyNumberFormat="1" applyFont="1" applyAlignment="1">
      <alignment horizontal="right" vertical="top"/>
    </xf>
    <xf numFmtId="164" fontId="4" fillId="0" borderId="10" xfId="0" applyNumberFormat="1" applyFont="1" applyBorder="1"/>
    <xf numFmtId="4" fontId="4" fillId="0" borderId="10" xfId="0" applyNumberFormat="1" applyFont="1" applyBorder="1"/>
    <xf numFmtId="9" fontId="4" fillId="0" borderId="10" xfId="0" applyNumberFormat="1" applyFont="1" applyBorder="1" applyAlignment="1">
      <alignment horizontal="center"/>
    </xf>
    <xf numFmtId="0" fontId="4" fillId="0" borderId="44" xfId="0" applyFont="1" applyBorder="1"/>
    <xf numFmtId="164" fontId="4" fillId="0" borderId="18" xfId="0" applyNumberFormat="1" applyFont="1" applyBorder="1"/>
    <xf numFmtId="164" fontId="4" fillId="0" borderId="29" xfId="0" applyNumberFormat="1" applyFont="1" applyBorder="1"/>
    <xf numFmtId="4" fontId="4" fillId="0" borderId="18" xfId="0" applyNumberFormat="1" applyFont="1" applyBorder="1"/>
    <xf numFmtId="164" fontId="4" fillId="0" borderId="30" xfId="0" applyNumberFormat="1" applyFont="1" applyBorder="1"/>
    <xf numFmtId="2" fontId="19" fillId="0" borderId="0" xfId="0" applyNumberFormat="1" applyFont="1"/>
    <xf numFmtId="0" fontId="15" fillId="0" borderId="1" xfId="0" applyFont="1" applyBorder="1"/>
    <xf numFmtId="0" fontId="15" fillId="0" borderId="2" xfId="0" applyFont="1" applyBorder="1"/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5" fillId="0" borderId="6" xfId="0" applyFont="1" applyBorder="1"/>
    <xf numFmtId="0" fontId="15" fillId="0" borderId="0" xfId="0" applyFont="1" applyAlignment="1">
      <alignment horizontal="left"/>
    </xf>
    <xf numFmtId="0" fontId="15" fillId="0" borderId="7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2" fillId="0" borderId="45" xfId="0" applyFont="1" applyBorder="1"/>
    <xf numFmtId="0" fontId="12" fillId="0" borderId="46" xfId="0" applyFont="1" applyBorder="1" applyAlignment="1">
      <alignment horizontal="center" wrapText="1"/>
    </xf>
    <xf numFmtId="0" fontId="12" fillId="0" borderId="47" xfId="0" applyFont="1" applyBorder="1" applyAlignment="1">
      <alignment horizontal="center" wrapText="1"/>
    </xf>
    <xf numFmtId="0" fontId="15" fillId="0" borderId="28" xfId="0" applyFont="1" applyBorder="1"/>
    <xf numFmtId="0" fontId="15" fillId="0" borderId="36" xfId="0" applyFont="1" applyBorder="1"/>
    <xf numFmtId="14" fontId="15" fillId="0" borderId="10" xfId="0" applyNumberFormat="1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14" fontId="12" fillId="0" borderId="12" xfId="0" applyNumberFormat="1" applyFont="1" applyBorder="1" applyAlignment="1">
      <alignment horizontal="center"/>
    </xf>
    <xf numFmtId="0" fontId="12" fillId="0" borderId="48" xfId="0" applyFont="1" applyBorder="1"/>
    <xf numFmtId="0" fontId="12" fillId="0" borderId="49" xfId="0" applyFont="1" applyBorder="1" applyAlignment="1">
      <alignment horizontal="center" wrapText="1"/>
    </xf>
    <xf numFmtId="0" fontId="12" fillId="0" borderId="50" xfId="0" applyFont="1" applyBorder="1" applyAlignment="1">
      <alignment horizontal="center" wrapText="1"/>
    </xf>
    <xf numFmtId="4" fontId="15" fillId="0" borderId="7" xfId="0" applyNumberFormat="1" applyFont="1" applyBorder="1"/>
    <xf numFmtId="4" fontId="15" fillId="0" borderId="7" xfId="0" applyNumberFormat="1" applyFont="1" applyBorder="1" applyAlignment="1">
      <alignment horizontal="right"/>
    </xf>
    <xf numFmtId="4" fontId="15" fillId="0" borderId="8" xfId="0" applyNumberFormat="1" applyFont="1" applyBorder="1" applyAlignment="1">
      <alignment horizontal="right"/>
    </xf>
    <xf numFmtId="14" fontId="12" fillId="0" borderId="9" xfId="0" applyNumberFormat="1" applyFont="1" applyBorder="1" applyAlignment="1">
      <alignment horizontal="center"/>
    </xf>
    <xf numFmtId="0" fontId="12" fillId="0" borderId="0" xfId="0" applyFont="1" applyAlignment="1">
      <alignment horizontal="center" wrapText="1"/>
    </xf>
    <xf numFmtId="164" fontId="15" fillId="0" borderId="7" xfId="0" applyNumberFormat="1" applyFont="1" applyBorder="1"/>
    <xf numFmtId="164" fontId="15" fillId="0" borderId="7" xfId="0" applyNumberFormat="1" applyFont="1" applyBorder="1" applyAlignment="1">
      <alignment horizontal="right"/>
    </xf>
    <xf numFmtId="164" fontId="15" fillId="0" borderId="8" xfId="0" applyNumberFormat="1" applyFont="1" applyBorder="1" applyAlignment="1">
      <alignment horizontal="right"/>
    </xf>
    <xf numFmtId="0" fontId="12" fillId="0" borderId="14" xfId="0" applyFont="1" applyBorder="1"/>
    <xf numFmtId="164" fontId="12" fillId="0" borderId="14" xfId="0" applyNumberFormat="1" applyFont="1" applyBorder="1"/>
    <xf numFmtId="0" fontId="12" fillId="0" borderId="10" xfId="0" applyFont="1" applyBorder="1"/>
    <xf numFmtId="164" fontId="12" fillId="0" borderId="10" xfId="0" applyNumberFormat="1" applyFont="1" applyBorder="1"/>
    <xf numFmtId="0" fontId="12" fillId="0" borderId="51" xfId="0" applyFont="1" applyBorder="1"/>
    <xf numFmtId="164" fontId="12" fillId="0" borderId="52" xfId="0" applyNumberFormat="1" applyFont="1" applyBorder="1"/>
    <xf numFmtId="14" fontId="12" fillId="0" borderId="0" xfId="0" applyNumberFormat="1" applyFont="1" applyAlignment="1">
      <alignment horizontal="center"/>
    </xf>
    <xf numFmtId="0" fontId="12" fillId="0" borderId="53" xfId="0" applyFont="1" applyBorder="1"/>
    <xf numFmtId="164" fontId="12" fillId="0" borderId="53" xfId="0" applyNumberFormat="1" applyFont="1" applyBorder="1"/>
    <xf numFmtId="164" fontId="12" fillId="0" borderId="54" xfId="0" applyNumberFormat="1" applyFont="1" applyBorder="1"/>
    <xf numFmtId="164" fontId="12" fillId="0" borderId="55" xfId="0" applyNumberFormat="1" applyFont="1" applyBorder="1"/>
    <xf numFmtId="4" fontId="12" fillId="0" borderId="53" xfId="0" applyNumberFormat="1" applyFont="1" applyBorder="1"/>
    <xf numFmtId="0" fontId="15" fillId="0" borderId="56" xfId="0" applyFont="1" applyBorder="1"/>
    <xf numFmtId="0" fontId="15" fillId="0" borderId="40" xfId="0" applyFont="1" applyBorder="1"/>
    <xf numFmtId="164" fontId="15" fillId="0" borderId="14" xfId="0" applyNumberFormat="1" applyFont="1" applyBorder="1" applyAlignment="1">
      <alignment horizontal="right"/>
    </xf>
    <xf numFmtId="164" fontId="15" fillId="0" borderId="15" xfId="0" applyNumberFormat="1" applyFont="1" applyBorder="1" applyAlignment="1">
      <alignment horizontal="right"/>
    </xf>
    <xf numFmtId="164" fontId="12" fillId="0" borderId="48" xfId="0" applyNumberFormat="1" applyFont="1" applyBorder="1"/>
    <xf numFmtId="164" fontId="12" fillId="0" borderId="57" xfId="0" applyNumberFormat="1" applyFont="1" applyBorder="1"/>
    <xf numFmtId="4" fontId="12" fillId="0" borderId="18" xfId="0" applyNumberFormat="1" applyFont="1" applyBorder="1"/>
    <xf numFmtId="4" fontId="12" fillId="0" borderId="19" xfId="0" applyNumberFormat="1" applyFont="1" applyBorder="1"/>
    <xf numFmtId="0" fontId="20" fillId="0" borderId="0" xfId="0" applyFont="1"/>
    <xf numFmtId="4" fontId="1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8"/>
  <sheetViews>
    <sheetView workbookViewId="0" zoomScale="100" zoomScaleNormal="100"/>
  </sheetViews>
  <sheetFormatPr defaultRowHeight="0" outlineLevelRow="0" outlineLevelCol="0" x14ac:dyDescent="0" customHeight="1"/>
  <cols>
    <col min="1" max="1" width="46.109375" customWidth="1"/>
    <col min="2" max="2" width="14" customWidth="1"/>
    <col min="3" max="3" width="14.6640625" customWidth="1"/>
    <col min="4" max="4" width="16.5546875" customWidth="1"/>
    <col min="5" max="5" width="20.109375" customWidth="1"/>
    <col min="6" max="6" width="16.44140625" customWidth="1"/>
    <col min="7" max="8" width="15.44140625" customWidth="1"/>
    <col min="9" max="257" width="9.1093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2:3" x14ac:dyDescent="0.25">
      <c r="B3" s="1" t="s">
        <v>2</v>
      </c>
      <c r="C3" s="1" t="s">
        <v>3</v>
      </c>
    </row>
    <row r="5" spans="1:1" x14ac:dyDescent="0.25">
      <c r="A5" t="s">
        <v>4</v>
      </c>
    </row>
    <row r="7" spans="1:4" x14ac:dyDescent="0.25">
      <c r="A7" t="s">
        <v>5</v>
      </c>
      <c r="B7" s="1">
        <f>IF(D7&gt;0,D7,0)</f>
        <v>0</v>
      </c>
      <c r="C7" s="1">
        <f>IF(D7&lt;0,-D7,0)</f>
        <v>265310.63</v>
      </c>
      <c r="D7" s="1">
        <f>IFERROR(VLOOKUP(A7,$A$242:$B$359,2,FALSE),0)</f>
        <v>-265310.63</v>
      </c>
    </row>
    <row r="8" hidden="1" spans="1:4" x14ac:dyDescent="0.25">
      <c r="A8" t="s">
        <v>6</v>
      </c>
      <c r="B8" s="1">
        <f>IF(D8&gt;0,D8,0)</f>
        <v>0</v>
      </c>
      <c r="C8" s="1">
        <f>IF(D8&lt;0,-D8,0)</f>
        <v>0</v>
      </c>
      <c r="D8" s="1">
        <f>IFERROR(VLOOKUP(A8,$A$242:$B$359,2,FALSE),0)</f>
      </c>
    </row>
    <row r="9" spans="1:4" x14ac:dyDescent="0.25">
      <c r="A9" t="s">
        <v>7</v>
      </c>
      <c r="B9" s="1">
        <f>IF(D9&gt;0,D9,0)</f>
        <v>0</v>
      </c>
      <c r="C9" s="1">
        <f>IF(D9&lt;0,-D9,0)</f>
        <v>25116049.8</v>
      </c>
      <c r="D9" s="1">
        <f>IFERROR(VLOOKUP(A9,$A$242:$B$359,2,FALSE),0)</f>
        <v>-25116049.8</v>
      </c>
    </row>
    <row r="10" hidden="1" spans="1:4" x14ac:dyDescent="0.25">
      <c r="A10" t="s">
        <v>8</v>
      </c>
      <c r="B10" s="1">
        <f>IF(D10&gt;0,D10,0)</f>
        <v>0</v>
      </c>
      <c r="C10" s="1">
        <f>IF(D10&lt;0,-D10,0)</f>
        <v>0</v>
      </c>
      <c r="D10" s="1">
        <f>IFERROR(VLOOKUP(A10,$A$242:$B$359,2,FALSE),0)</f>
      </c>
    </row>
    <row r="11" spans="1:4" x14ac:dyDescent="0.25">
      <c r="A11" t="s">
        <v>9</v>
      </c>
      <c r="B11" s="1">
        <f>IF(D11&gt;0,D11,0)</f>
        <v>0</v>
      </c>
      <c r="C11" s="1">
        <f>IF(D11&lt;0,-D11,0)</f>
        <v>640196.6900000001</v>
      </c>
      <c r="D11" s="1">
        <f>IFERROR(VLOOKUP(A11,$A$242:$B$359,2,FALSE),0)</f>
        <v>-640196.6900000001</v>
      </c>
    </row>
    <row r="12" spans="1:4" x14ac:dyDescent="0.25">
      <c r="A12" t="s">
        <v>10</v>
      </c>
      <c r="B12" s="1">
        <f>IF(D12&gt;0,D12,0)</f>
        <v>0</v>
      </c>
      <c r="C12" s="1">
        <f>IF(D12&lt;0,-D12,0)</f>
        <v>99288526.08</v>
      </c>
      <c r="D12" s="1">
        <f>IFERROR(VLOOKUP(A12,$A$242:$B$359,2,FALSE),0)</f>
        <v>-99288526.08</v>
      </c>
    </row>
    <row r="13" hidden="1" spans="1:4" x14ac:dyDescent="0.25">
      <c r="A13" t="s">
        <v>11</v>
      </c>
      <c r="B13" s="1">
        <f>IF(D13&gt;0,D13,0)</f>
        <v>0</v>
      </c>
      <c r="C13" s="1">
        <f>IF(D13&lt;0,-D13,0)</f>
        <v>0</v>
      </c>
      <c r="D13" s="1">
        <f>IFERROR(VLOOKUP(A13,$A$242:$B$359,2,FALSE),0)</f>
      </c>
    </row>
    <row r="14" spans="1:4" x14ac:dyDescent="0.25">
      <c r="A14" t="s">
        <v>12</v>
      </c>
      <c r="B14" s="1">
        <f>IF(D14&gt;0,D14,0)</f>
        <v>304705.08</v>
      </c>
      <c r="C14" s="1">
        <f>IF(D14&lt;0,-D14,0)</f>
        <v>0</v>
      </c>
      <c r="D14" s="1">
        <f>IFERROR(VLOOKUP(A14,$A$242:$B$359,2,FALSE),0)</f>
        <v>304705.08</v>
      </c>
    </row>
    <row r="15" hidden="1" spans="1:6" x14ac:dyDescent="0.25">
      <c r="A15" t="s">
        <v>13</v>
      </c>
      <c r="B15" s="1">
        <f>IF(D15&gt;0,D15,0)</f>
        <v>0</v>
      </c>
      <c r="C15" s="1">
        <f>IF(D15&lt;0,-D15,0)</f>
        <v>0</v>
      </c>
      <c r="D15" s="1">
        <f>IFERROR(VLOOKUP(A15,$A$242:$B$359,2,FALSE),0)</f>
      </c>
      <c r="F15" s="2" t="s">
        <v>14</v>
      </c>
    </row>
    <row r="16" ht="15" customHeight="1" spans="1:4" x14ac:dyDescent="0.25">
      <c r="A16" t="s">
        <v>15</v>
      </c>
      <c r="B16" s="1">
        <f>IF(D16&gt;0,D16,0)</f>
        <v>0</v>
      </c>
      <c r="C16" s="1">
        <f>IF(D16&lt;0,-D16,0)</f>
        <v>108886.7</v>
      </c>
      <c r="D16" s="1">
        <f>IFERROR(VLOOKUP(A16,$A$242:$B$359,2,FALSE),0)</f>
        <v>-108886.7</v>
      </c>
    </row>
    <row r="17" ht="15" customHeight="1" spans="1:4" x14ac:dyDescent="0.25">
      <c r="A17" t="s">
        <v>16</v>
      </c>
      <c r="B17" s="1">
        <f>IF(D17&gt;0,D17,0)</f>
        <v>0</v>
      </c>
      <c r="C17" s="1">
        <f>IF(D17&lt;0,-D17,0)</f>
        <v>192240.64</v>
      </c>
      <c r="D17" s="1">
        <f>IFERROR(VLOOKUP(A17,$A$242:$B$359,2,FALSE),0)</f>
        <v>-192240.64</v>
      </c>
    </row>
    <row r="18" spans="1:4" x14ac:dyDescent="0.25">
      <c r="A18" t="s">
        <v>17</v>
      </c>
      <c r="B18" s="1">
        <f>IF(D18&gt;0,D18,0)</f>
        <v>4122436.2800000003</v>
      </c>
      <c r="C18" s="1">
        <f>IF(D18&lt;0,-D18,0)</f>
        <v>0</v>
      </c>
      <c r="D18" s="1">
        <f>IFERROR(VLOOKUP(A18,$A$242:$B$359,2,FALSE),0)</f>
        <v>4122436.2800000003</v>
      </c>
    </row>
    <row r="19" spans="1:4" x14ac:dyDescent="0.25">
      <c r="A19" t="s">
        <v>18</v>
      </c>
      <c r="B19" s="1">
        <f>IF(D19&gt;0,D19,0)</f>
        <v>1600000</v>
      </c>
      <c r="C19" s="1">
        <f>IF(D19&lt;0,-D19,0)</f>
        <v>0</v>
      </c>
      <c r="D19" s="1">
        <f>IFERROR(VLOOKUP(A19,$A$242:$B$359,2,FALSE),0)</f>
        <v>1600000</v>
      </c>
    </row>
    <row r="20" hidden="1" spans="1:4" x14ac:dyDescent="0.25">
      <c r="A20" t="s">
        <v>19</v>
      </c>
      <c r="B20" s="1">
        <f>IF(D20&gt;0,D20,0)</f>
        <v>0</v>
      </c>
      <c r="C20" s="1">
        <f>IF(D20&lt;0,-D20,0)</f>
        <v>0</v>
      </c>
      <c r="D20" s="1">
        <f>IFERROR(VLOOKUP(A20,$A$242:$B$359,2,FALSE),0)</f>
      </c>
    </row>
    <row r="21" spans="1:4" x14ac:dyDescent="0.25">
      <c r="A21" t="s">
        <v>20</v>
      </c>
      <c r="B21" s="1">
        <f>IF(D21&gt;0,D21,0)</f>
        <v>0</v>
      </c>
      <c r="C21" s="1">
        <f>IF(D21&lt;0,-D21,0)</f>
        <v>50000</v>
      </c>
      <c r="D21" s="1">
        <f>IFERROR(VLOOKUP(A21,$A$242:$B$359,2,FALSE),0)</f>
        <v>-50000</v>
      </c>
    </row>
    <row r="22" spans="1:4" x14ac:dyDescent="0.25">
      <c r="A22" t="s">
        <v>21</v>
      </c>
      <c r="B22" s="1">
        <f>IF(D22&gt;0,D22,0)</f>
        <v>0</v>
      </c>
      <c r="C22" s="1">
        <f>IF(D22&lt;0,-D22,0)</f>
        <v>200000</v>
      </c>
      <c r="D22" s="1">
        <f>IFERROR(VLOOKUP(A22,$A$242:$B$359,2,FALSE),0)</f>
        <v>-200000</v>
      </c>
    </row>
    <row r="23" hidden="1" spans="1:4" x14ac:dyDescent="0.25">
      <c r="A23" t="s">
        <v>22</v>
      </c>
      <c r="B23" s="1">
        <f>IF(D23&gt;0,D23,0)</f>
        <v>0</v>
      </c>
      <c r="C23" s="1">
        <f>IF(D23&lt;0,-D23,0)</f>
        <v>0</v>
      </c>
      <c r="D23" s="1">
        <f>IFERROR(VLOOKUP(A23,$A$242:$B$359,2,FALSE),0)</f>
      </c>
    </row>
    <row r="24" hidden="1" spans="1:4" x14ac:dyDescent="0.25">
      <c r="A24" t="s">
        <v>23</v>
      </c>
      <c r="B24" s="1">
        <f>IF(D24&gt;0,D24,0)</f>
        <v>0</v>
      </c>
      <c r="C24" s="1">
        <f>IF(D24&lt;0,-D24,0)</f>
        <v>0</v>
      </c>
      <c r="D24" s="1">
        <f>IFERROR(VLOOKUP(A24,$A$242:$B$359,2,FALSE),0)</f>
      </c>
    </row>
    <row r="25" hidden="1" spans="1:4" x14ac:dyDescent="0.25">
      <c r="A25" t="s">
        <v>24</v>
      </c>
      <c r="B25" s="1">
        <f>IF(D25&gt;0,D25,0)</f>
        <v>0</v>
      </c>
      <c r="C25" s="1">
        <f>IF(D25&lt;0,-D25,0)</f>
        <v>0</v>
      </c>
      <c r="D25" s="1">
        <f>IFERROR(VLOOKUP(A25,$A$242:$B$359,2,FALSE),0)</f>
      </c>
    </row>
    <row r="26" spans="1:4" x14ac:dyDescent="0.25">
      <c r="A26" t="s">
        <v>25</v>
      </c>
      <c r="B26" s="1">
        <f>IF(D26&gt;0,D26,0)</f>
        <v>0</v>
      </c>
      <c r="C26" s="1">
        <f>IF(D26&lt;0,-D26,0)</f>
        <v>8283474.350000001</v>
      </c>
      <c r="D26" s="1">
        <f>IFERROR(VLOOKUP(A26,$A$242:$B$359,2,FALSE),0)</f>
        <v>-8283474.350000001</v>
      </c>
    </row>
    <row r="27" spans="1:4" x14ac:dyDescent="0.25">
      <c r="A27" t="s">
        <v>26</v>
      </c>
      <c r="B27" s="1">
        <f>IF(D27&gt;0,D27,0)</f>
        <v>0</v>
      </c>
      <c r="C27" s="1">
        <f>IF(D27&lt;0,-D27,0)</f>
        <v>961.13</v>
      </c>
      <c r="D27" s="1">
        <f>IFERROR(VLOOKUP(A27,$A$242:$B$359,2,FALSE),0)</f>
        <v>-961.13</v>
      </c>
    </row>
    <row r="28" hidden="1" spans="1:4" x14ac:dyDescent="0.25">
      <c r="A28" t="s">
        <v>27</v>
      </c>
      <c r="B28" s="1">
        <f>IF(D28&gt;0,D28,0)</f>
        <v>0</v>
      </c>
      <c r="C28" s="1">
        <f>IF(D28&lt;0,-D28,0)</f>
        <v>0</v>
      </c>
      <c r="D28" s="1">
        <f>IFERROR(VLOOKUP(A28,$A$242:$B$359,2,FALSE),0)</f>
      </c>
    </row>
    <row r="29" spans="1:4" x14ac:dyDescent="0.25">
      <c r="A29" t="s">
        <v>28</v>
      </c>
      <c r="B29" s="1">
        <f>IF(D29&gt;0,D29,0)</f>
        <v>0</v>
      </c>
      <c r="C29" s="1">
        <f>IF(D29&lt;0,-D29,0)</f>
        <v>20812690.56</v>
      </c>
      <c r="D29" s="1">
        <f>IFERROR(VLOOKUP(A29,$A$242:$B$359,2,FALSE),0)</f>
        <v>-20812690.56</v>
      </c>
    </row>
    <row r="30" hidden="1" spans="1:4" x14ac:dyDescent="0.25">
      <c r="A30" t="s">
        <v>29</v>
      </c>
      <c r="B30" s="1">
        <f>IF(D30&gt;0,D30,0)</f>
        <v>0</v>
      </c>
      <c r="C30" s="1">
        <f>IF(D30&lt;0,-D30,0)</f>
        <v>0</v>
      </c>
      <c r="D30" s="1">
        <f>IFERROR(VLOOKUP(A30,$A$242:$B$359,2,FALSE),0)</f>
      </c>
    </row>
    <row r="31" hidden="1" spans="1:4" x14ac:dyDescent="0.25">
      <c r="A31" t="s">
        <v>30</v>
      </c>
      <c r="B31" s="1">
        <f>IF(D31&gt;0,D31,0)</f>
        <v>0</v>
      </c>
      <c r="C31" s="1">
        <f>IF(D31&lt;0,-D31,0)</f>
        <v>0</v>
      </c>
      <c r="D31" s="1">
        <f>IFERROR(VLOOKUP(A31,$A$242:$B$359,2,FALSE),0)</f>
      </c>
    </row>
    <row r="32" hidden="1" spans="1:4" x14ac:dyDescent="0.25">
      <c r="A32" t="s">
        <v>31</v>
      </c>
      <c r="B32" s="1">
        <f>IF(D32&gt;0,D32,0)</f>
        <v>0</v>
      </c>
      <c r="C32" s="1">
        <f>IF(D32&lt;0,-D32,0)</f>
        <v>0</v>
      </c>
      <c r="D32" s="1">
        <f>IFERROR(VLOOKUP(A32,$A$242:$B$359,2,FALSE),0)</f>
      </c>
    </row>
    <row r="33" hidden="1" spans="1:4" x14ac:dyDescent="0.25">
      <c r="A33" t="s">
        <v>32</v>
      </c>
      <c r="B33" s="1">
        <f>IF(D33&gt;0,D33,0)</f>
        <v>0</v>
      </c>
      <c r="C33" s="1">
        <f>IF(D33&lt;0,-D33,0)</f>
        <v>0</v>
      </c>
      <c r="D33" s="1">
        <f>IFERROR(VLOOKUP(A33,$A$242:$B$359,2,FALSE),0)</f>
      </c>
    </row>
    <row r="34" hidden="1" spans="1:4" x14ac:dyDescent="0.25">
      <c r="A34" t="s">
        <v>33</v>
      </c>
      <c r="B34" s="1">
        <f>IF(D34&gt;0,D34,0)</f>
        <v>0</v>
      </c>
      <c r="C34" s="1">
        <f>IF(D34&lt;0,-D34,0)</f>
        <v>0</v>
      </c>
      <c r="D34" s="1">
        <f>IFERROR(VLOOKUP(A34,$A$242:$B$359,2,FALSE),0)</f>
      </c>
    </row>
    <row r="35" hidden="1" spans="1:4" x14ac:dyDescent="0.25">
      <c r="A35" t="s">
        <v>34</v>
      </c>
      <c r="B35" s="1">
        <f>IF(D35&gt;0,D35,0)</f>
        <v>0</v>
      </c>
      <c r="C35" s="1">
        <f>IF(D35&lt;0,-D35,0)</f>
        <v>0</v>
      </c>
      <c r="D35" s="1">
        <f>IFERROR(VLOOKUP(A35,$A$242:$B$359,2,FALSE),0)</f>
      </c>
    </row>
    <row r="36" hidden="1" spans="1:4" x14ac:dyDescent="0.25">
      <c r="A36" t="s">
        <v>35</v>
      </c>
      <c r="B36" s="1">
        <f>IF(D36&gt;0,D36,0)</f>
        <v>0</v>
      </c>
      <c r="C36" s="1">
        <f>IF(D36&lt;0,-D36,0)</f>
        <v>0</v>
      </c>
      <c r="D36" s="1">
        <f>IFERROR(VLOOKUP(A36,$A$242:$B$359,2,FALSE),0)</f>
      </c>
    </row>
    <row r="37" hidden="1" spans="1:4" x14ac:dyDescent="0.25">
      <c r="A37" t="s">
        <v>36</v>
      </c>
      <c r="B37" s="1">
        <f>IF(D37&gt;0,D37,0)</f>
        <v>0</v>
      </c>
      <c r="C37" s="1">
        <f>IF(D37&lt;0,-D37,0)</f>
        <v>0</v>
      </c>
      <c r="D37" s="1">
        <f>IFERROR(VLOOKUP(A37,$A$242:$B$359,2,FALSE),0)</f>
      </c>
    </row>
    <row r="38" hidden="1" spans="1:4" x14ac:dyDescent="0.25">
      <c r="A38" t="s">
        <v>37</v>
      </c>
      <c r="B38" s="1">
        <f>IF(D38&gt;0,D38,0)</f>
        <v>0</v>
      </c>
      <c r="C38" s="1">
        <f>IF(D38&lt;0,-D38,0)</f>
        <v>0</v>
      </c>
      <c r="D38" s="1">
        <f>IFERROR(VLOOKUP(A38,$A$242:$B$359,2,FALSE),0)</f>
      </c>
    </row>
    <row r="39" hidden="1" spans="1:4" x14ac:dyDescent="0.25">
      <c r="A39" t="s">
        <v>38</v>
      </c>
      <c r="B39" s="1">
        <f>IF(D39&gt;0,D39,0)</f>
        <v>0</v>
      </c>
      <c r="C39" s="1">
        <f>IF(D39&lt;0,-D39,0)</f>
        <v>0</v>
      </c>
      <c r="D39" s="1">
        <f>IFERROR(VLOOKUP(A39,$A$242:$B$359,2,FALSE),0)</f>
      </c>
    </row>
    <row r="40" hidden="1" spans="1:4" x14ac:dyDescent="0.25">
      <c r="A40" t="s">
        <v>39</v>
      </c>
      <c r="B40" s="1">
        <f>IF(D40&gt;0,D40,0)</f>
        <v>0</v>
      </c>
      <c r="C40" s="1">
        <f>IF(D40&lt;0,-D40,0)</f>
        <v>0</v>
      </c>
      <c r="D40" s="1">
        <f>IFERROR(VLOOKUP(A40,$A$242:$B$359,2,FALSE),0)</f>
      </c>
    </row>
    <row r="41" spans="1:4" x14ac:dyDescent="0.25">
      <c r="A41" t="s">
        <v>40</v>
      </c>
      <c r="B41" s="1">
        <f>IF(D41&gt;0,D41,0)</f>
        <v>0</v>
      </c>
      <c r="C41" s="1">
        <f>IF(D41&lt;0,-D41,0)</f>
        <v>3703.64</v>
      </c>
      <c r="D41" s="1">
        <f>IFERROR(VLOOKUP(A41,$A$242:$B$359,2,FALSE),0)</f>
        <v>-3703.64</v>
      </c>
    </row>
    <row r="42" spans="1:4" x14ac:dyDescent="0.25">
      <c r="A42" t="s">
        <v>41</v>
      </c>
      <c r="B42" s="1">
        <f>IF(D42&gt;0,D42,0)</f>
        <v>0</v>
      </c>
      <c r="C42" s="1">
        <f>IF(D42&lt;0,-D42,0)</f>
        <v>86004.7</v>
      </c>
      <c r="D42" s="1">
        <f>IFERROR(VLOOKUP(A42,$A$242:$B$359,2,FALSE),0)</f>
        <v>-86004.7</v>
      </c>
    </row>
    <row r="43" hidden="1" spans="1:4" x14ac:dyDescent="0.25">
      <c r="A43" t="s">
        <v>42</v>
      </c>
      <c r="B43" s="1">
        <f>IF(D43&gt;0,D43,0)</f>
        <v>0</v>
      </c>
      <c r="C43" s="1">
        <f>IF(D43&lt;0,-D43,0)</f>
        <v>0</v>
      </c>
      <c r="D43" s="1">
        <f>IFERROR(VLOOKUP(A43,$A$242:$B$359,2,FALSE),0)</f>
      </c>
    </row>
    <row r="44" hidden="1" spans="1:4" x14ac:dyDescent="0.25">
      <c r="A44" t="s">
        <v>43</v>
      </c>
      <c r="B44" s="1">
        <f>IF(D44&gt;0,D44,0)</f>
        <v>0</v>
      </c>
      <c r="C44" s="1">
        <f>IF(D44&lt;0,-D44,0)</f>
        <v>0</v>
      </c>
      <c r="D44" s="1">
        <f>IFERROR(VLOOKUP(A44,$A$242:$B$359,2,FALSE),0)</f>
      </c>
    </row>
    <row r="45" hidden="1" spans="1:4" x14ac:dyDescent="0.25">
      <c r="A45" t="s">
        <v>44</v>
      </c>
      <c r="B45" s="1">
        <f>IF(D45&gt;0,D45,0)</f>
        <v>0</v>
      </c>
      <c r="C45" s="1">
        <f>IF(D45&lt;0,-D45,0)</f>
        <v>0</v>
      </c>
      <c r="D45" s="1">
        <f>IFERROR(VLOOKUP(A45,$A$242:$B$359,2,FALSE),0)</f>
      </c>
    </row>
    <row r="46" hidden="1" spans="1:4" x14ac:dyDescent="0.25">
      <c r="A46" t="s">
        <v>45</v>
      </c>
      <c r="B46" s="1">
        <f>IF(D46&gt;0,D46,0)</f>
        <v>0</v>
      </c>
      <c r="C46" s="1">
        <f>IF(D46&lt;0,-D46,0)</f>
        <v>0</v>
      </c>
      <c r="D46" s="1">
        <f>IFERROR(VLOOKUP(A46,$A$242:$B$359,2,FALSE),0)</f>
      </c>
    </row>
    <row r="47" ht="17.25" customHeight="1" spans="1:5" x14ac:dyDescent="0.25">
      <c r="A47" t="s">
        <v>46</v>
      </c>
      <c r="B47" s="1">
        <f>IF(D47&gt;0,D47,0)</f>
        <v>0</v>
      </c>
      <c r="C47" s="1">
        <f>IF(D47&lt;0,-D47,0)</f>
        <v>2395589.98</v>
      </c>
      <c r="D47" s="1">
        <f>IFERROR(VLOOKUP(A47,$A$242:$B$359,2,FALSE),0)</f>
        <v>-2395589.98</v>
      </c>
      <c r="E47" s="2">
        <f>SUM(D32:D47)</f>
        <v>-2485298.32</v>
      </c>
    </row>
    <row r="48" hidden="1" spans="1:4" x14ac:dyDescent="0.25">
      <c r="A48" t="s">
        <v>47</v>
      </c>
      <c r="B48" s="1">
        <f>IF(D48&gt;0,D48,0)</f>
        <v>0</v>
      </c>
      <c r="C48" s="1">
        <f>IF(D48&lt;0,-D48,0)</f>
        <v>0</v>
      </c>
      <c r="D48" s="1">
        <f>IFERROR(VLOOKUP(A48,$A$242:$B$359,2,FALSE),0)</f>
      </c>
    </row>
    <row r="49" hidden="1" spans="1:4" x14ac:dyDescent="0.25">
      <c r="A49" t="s">
        <v>48</v>
      </c>
      <c r="B49" s="1">
        <f>IF(D49&gt;0,D49,0)</f>
        <v>0</v>
      </c>
      <c r="C49" s="1">
        <f>IF(D49&lt;0,-D49,0)</f>
        <v>0</v>
      </c>
      <c r="D49" s="1">
        <f>IFERROR(VLOOKUP(A49,$A$242:$B$359,2,FALSE),0)</f>
      </c>
    </row>
    <row r="50" spans="4:7" x14ac:dyDescent="0.25">
      <c r="D50" s="1">
        <f>SUM(D7:D49)</f>
        <v>-151416493.53999996</v>
      </c>
      <c r="E50" s="2">
        <f>SUM(B7:B49)</f>
        <v>6027141.36</v>
      </c>
      <c r="F50" s="2">
        <f>SUM(C7:C49)</f>
        <v>157443634.89999995</v>
      </c>
      <c r="G50" s="2">
        <f>+E50-F50-D50</f>
        <v>0</v>
      </c>
    </row>
    <row r="51" spans="1:1" x14ac:dyDescent="0.25">
      <c r="A51" t="s">
        <v>49</v>
      </c>
    </row>
    <row r="52" ht="24" customHeight="1" x14ac:dyDescent="0.25"/>
    <row r="53" hidden="1" spans="1:4" x14ac:dyDescent="0.25">
      <c r="A53" t="s">
        <v>50</v>
      </c>
      <c r="B53" s="1">
        <f>IF(D53&gt;0,D53,0)</f>
        <v>0</v>
      </c>
      <c r="C53" s="1">
        <f>IF(D53&lt;0,-D53,0)</f>
        <v>0</v>
      </c>
      <c r="D53" s="1">
        <f>IFERROR(VLOOKUP(A53,$A$242:$B$359,2,FALSE),0)</f>
      </c>
    </row>
    <row r="54" hidden="1" spans="1:4" x14ac:dyDescent="0.25">
      <c r="A54" t="s">
        <v>51</v>
      </c>
      <c r="B54" s="1">
        <f>IF(D54&gt;0,D54,0)</f>
        <v>0</v>
      </c>
      <c r="C54" s="1">
        <f>IF(D54&lt;0,-D54,0)</f>
        <v>0</v>
      </c>
      <c r="D54" s="1">
        <f>IFERROR(VLOOKUP(A54,$A$242:$B$359,2,FALSE),0)</f>
      </c>
    </row>
    <row r="55" hidden="1" spans="1:4" x14ac:dyDescent="0.25">
      <c r="A55" t="s">
        <v>52</v>
      </c>
      <c r="B55" s="1">
        <f>IF(D55&gt;0,D55,0)</f>
        <v>0</v>
      </c>
      <c r="C55" s="1">
        <f>IF(D55&lt;0,-D55,0)</f>
        <v>0</v>
      </c>
      <c r="D55" s="1">
        <f>IFERROR(VLOOKUP(A55,$A$242:$B$359,2,FALSE),0)</f>
      </c>
    </row>
    <row r="56" hidden="1" spans="1:4" x14ac:dyDescent="0.25">
      <c r="A56" t="s">
        <v>53</v>
      </c>
      <c r="B56" s="1">
        <f>IF(D56&gt;0,D56,0)</f>
        <v>0</v>
      </c>
      <c r="C56" s="1">
        <f>IF(D56&lt;0,-D56,0)</f>
        <v>0</v>
      </c>
      <c r="D56" s="1">
        <f>IFERROR(VLOOKUP(A56,$A$242:$B$359,2,FALSE),0)</f>
      </c>
    </row>
    <row r="57" hidden="1" spans="1:4" x14ac:dyDescent="0.25">
      <c r="A57" t="s">
        <v>54</v>
      </c>
      <c r="B57" s="1">
        <f>IF(D57&gt;0,D57,0)</f>
        <v>0</v>
      </c>
      <c r="C57" s="1">
        <f>IF(D57&lt;0,-D57,0)</f>
        <v>0</v>
      </c>
      <c r="D57" s="1">
        <f>IFERROR(VLOOKUP(A57,$A$242:$B$359,2,FALSE),0)</f>
      </c>
    </row>
    <row r="58" spans="1:4" x14ac:dyDescent="0.25">
      <c r="A58" t="s">
        <v>55</v>
      </c>
      <c r="B58" s="1">
        <f>IF(D58&gt;0,D58,0)</f>
        <v>59338.840000000004</v>
      </c>
      <c r="C58" s="1">
        <f>IF(D58&lt;0,-D58,0)</f>
        <v>0</v>
      </c>
      <c r="D58" s="1">
        <f>IFERROR(VLOOKUP(A58,$A$242:$B$359,2,FALSE),0)</f>
        <v>59338.840000000004</v>
      </c>
    </row>
    <row r="59" spans="1:4" x14ac:dyDescent="0.25">
      <c r="A59" t="s">
        <v>56</v>
      </c>
      <c r="B59" s="1">
        <f>IF(D59&gt;0,D59,0)</f>
        <v>162531</v>
      </c>
      <c r="C59" s="1">
        <f>IF(D59&lt;0,-D59,0)</f>
        <v>0</v>
      </c>
      <c r="D59" s="1">
        <f>IFERROR(VLOOKUP(A59,$A$242:$B$359,2,FALSE),0)</f>
        <v>162531</v>
      </c>
    </row>
    <row r="60" hidden="1" spans="1:4" x14ac:dyDescent="0.25">
      <c r="A60" t="s">
        <v>57</v>
      </c>
      <c r="B60" s="1">
        <f>IF(D60&gt;0,D60,0)</f>
        <v>0</v>
      </c>
      <c r="C60" s="1">
        <f>IF(D60&lt;0,-D60,0)</f>
        <v>0</v>
      </c>
      <c r="D60" s="1">
        <f>IFERROR(VLOOKUP(A60,$A$242:$B$359,2,FALSE),0)</f>
      </c>
    </row>
    <row r="61" hidden="1" spans="1:4" x14ac:dyDescent="0.25">
      <c r="A61" t="s">
        <v>58</v>
      </c>
      <c r="B61" s="1">
        <f>IF(D61&gt;0,D61,0)</f>
        <v>0</v>
      </c>
      <c r="C61" s="1">
        <f>IF(D61&lt;0,-D61,0)</f>
        <v>0</v>
      </c>
      <c r="D61" s="1">
        <f>IFERROR(VLOOKUP(A61,$A$242:$B$359,2,FALSE),0)</f>
      </c>
    </row>
    <row r="62" hidden="1" spans="1:4" x14ac:dyDescent="0.25">
      <c r="A62" t="s">
        <v>59</v>
      </c>
      <c r="B62" s="1">
        <f>IF(D62&gt;0,D62,0)</f>
        <v>0</v>
      </c>
      <c r="C62" s="1">
        <f>IF(D62&lt;0,-D62,0)</f>
        <v>0</v>
      </c>
      <c r="D62" s="1">
        <f>IFERROR(VLOOKUP(A62,$A$242:$B$359,2,FALSE),0)</f>
      </c>
    </row>
    <row r="63" hidden="1" spans="1:4" x14ac:dyDescent="0.25">
      <c r="A63" t="s">
        <v>60</v>
      </c>
      <c r="B63" s="1">
        <f>IF(D63&gt;0,D63,0)</f>
        <v>0</v>
      </c>
      <c r="C63" s="1">
        <f>IF(D63&lt;0,-D63,0)</f>
        <v>0</v>
      </c>
      <c r="D63" s="1">
        <f>IFERROR(VLOOKUP(A63,$A$242:$B$359,2,FALSE),0)</f>
      </c>
    </row>
    <row r="64" spans="1:4" x14ac:dyDescent="0.25">
      <c r="A64" t="s">
        <v>61</v>
      </c>
      <c r="B64" s="1">
        <f>IF(D64&gt;0,D64,0)</f>
        <v>22567153.080000002</v>
      </c>
      <c r="C64" s="1">
        <f>IF(D64&lt;0,-D64,0)</f>
        <v>0</v>
      </c>
      <c r="D64" s="1">
        <f>IFERROR(VLOOKUP(A64,$A$242:$B$359,2,FALSE),0)</f>
        <v>22567153.080000002</v>
      </c>
    </row>
    <row r="65" hidden="1" spans="1:4" x14ac:dyDescent="0.25">
      <c r="A65" t="s">
        <v>62</v>
      </c>
      <c r="B65" s="1">
        <f>IF(D65&gt;0,D65,0)</f>
        <v>0</v>
      </c>
      <c r="C65" s="1">
        <f>IF(D65&lt;0,-D65,0)</f>
        <v>0</v>
      </c>
      <c r="D65" s="1">
        <f>IFERROR(VLOOKUP(A65,$A$242:$B$359,2,FALSE),0)</f>
      </c>
    </row>
    <row r="66" hidden="1" spans="1:4" x14ac:dyDescent="0.25">
      <c r="A66" t="s">
        <v>63</v>
      </c>
      <c r="B66" s="1">
        <f>IF(D66&gt;0,D66,0)</f>
        <v>0</v>
      </c>
      <c r="C66" s="1">
        <f>IF(D66&lt;0,-D66,0)</f>
        <v>0</v>
      </c>
      <c r="D66" s="1">
        <f>IFERROR(VLOOKUP(A66,$A$242:$B$359,2,FALSE),0)</f>
      </c>
    </row>
    <row r="67" hidden="1" spans="1:4" x14ac:dyDescent="0.25">
      <c r="A67" t="s">
        <v>64</v>
      </c>
      <c r="B67" s="1">
        <f>IF(D67&gt;0,D67,0)</f>
        <v>0</v>
      </c>
      <c r="C67" s="1">
        <f>IF(D67&lt;0,-D67,0)</f>
        <v>0</v>
      </c>
      <c r="D67" s="1">
        <f>IFERROR(VLOOKUP(A67,$A$242:$B$359,2,FALSE),0)</f>
      </c>
    </row>
    <row r="68" spans="1:4" x14ac:dyDescent="0.25">
      <c r="A68" t="s">
        <v>65</v>
      </c>
      <c r="B68" s="1">
        <f>IF(D68&gt;0,D68,0)</f>
        <v>0</v>
      </c>
      <c r="C68" s="1">
        <f>IF(D68&lt;0,-D68,0)</f>
        <v>7949700</v>
      </c>
      <c r="D68" s="1">
        <f>IFERROR(VLOOKUP(A68,$A$242:$B$359,2,FALSE),0)</f>
        <v>-7949700</v>
      </c>
    </row>
    <row r="69" hidden="1" spans="1:4" x14ac:dyDescent="0.25">
      <c r="A69" t="s">
        <v>66</v>
      </c>
      <c r="B69" s="1">
        <f>IF(D69&gt;0,D69,0)</f>
        <v>0</v>
      </c>
      <c r="C69" s="1">
        <f>IF(D69&lt;0,-D69,0)</f>
        <v>0</v>
      </c>
      <c r="D69" s="1">
        <f>IFERROR(VLOOKUP(A69,$A$242:$B$359,2,FALSE),0)</f>
      </c>
    </row>
    <row r="70" hidden="1" spans="1:4" x14ac:dyDescent="0.25">
      <c r="A70" t="s">
        <v>67</v>
      </c>
      <c r="B70" s="1">
        <f>IF(D70&gt;0,D70,0)</f>
        <v>0</v>
      </c>
      <c r="C70" s="1">
        <f>IF(D70&lt;0,-D70,0)</f>
        <v>0</v>
      </c>
      <c r="D70" s="1">
        <f>IFERROR(VLOOKUP(A70,$A$242:$B$359,2,FALSE),0)</f>
      </c>
    </row>
    <row r="71" hidden="1" spans="1:6" x14ac:dyDescent="0.25">
      <c r="A71" t="s">
        <v>68</v>
      </c>
      <c r="B71" s="1">
        <f>IF(D71&gt;0,D71,0)</f>
        <v>0</v>
      </c>
      <c r="C71" s="1">
        <f>IF(D71&lt;0,-D71,0)</f>
        <v>0</v>
      </c>
      <c r="D71" s="1">
        <f>IFERROR(VLOOKUP(A71,$A$242:$B$359,2,FALSE),0)</f>
      </c>
      <c r="F71" t="s">
        <v>14</v>
      </c>
    </row>
    <row r="72" hidden="1" spans="1:4" x14ac:dyDescent="0.25">
      <c r="A72" t="s">
        <v>69</v>
      </c>
      <c r="B72" s="1">
        <f>IF(D72&gt;0,D72,0)</f>
        <v>0</v>
      </c>
      <c r="C72" s="1">
        <f>IF(D72&lt;0,-D72,0)</f>
        <v>0</v>
      </c>
      <c r="D72" s="1">
        <f>IFERROR(VLOOKUP(A72,$A$242:$B$359,2,FALSE),0)</f>
      </c>
    </row>
    <row r="73" hidden="1" spans="1:4" x14ac:dyDescent="0.25">
      <c r="A73" t="s">
        <v>70</v>
      </c>
      <c r="B73" s="1">
        <f>IF(D73&gt;0,D73,0)</f>
        <v>0</v>
      </c>
      <c r="C73" s="1">
        <f>IF(D73&lt;0,-D73,0)</f>
        <v>0</v>
      </c>
      <c r="D73" s="1">
        <f>IFERROR(VLOOKUP(A73,$A$242:$B$359,2,FALSE),0)</f>
      </c>
    </row>
    <row r="74" hidden="1" spans="1:4" x14ac:dyDescent="0.25">
      <c r="A74" t="s">
        <v>71</v>
      </c>
      <c r="B74" s="1">
        <f>IF(D74&gt;0,D74,0)</f>
        <v>0</v>
      </c>
      <c r="C74" s="1">
        <f>IF(D74&lt;0,-D74,0)</f>
        <v>0</v>
      </c>
      <c r="D74" s="1">
        <f>IFERROR(VLOOKUP(A74,$A$242:$B$359,2,FALSE),0)</f>
      </c>
    </row>
    <row r="75" hidden="1" spans="1:4" x14ac:dyDescent="0.25">
      <c r="A75" t="s">
        <v>72</v>
      </c>
      <c r="B75" s="1">
        <f>IF(D75&gt;0,D75,0)</f>
        <v>0</v>
      </c>
      <c r="C75" s="1">
        <f>IF(D75&lt;0,-D75,0)</f>
        <v>0</v>
      </c>
      <c r="D75" s="1">
        <f>IFERROR(VLOOKUP(A75,$A$242:$B$359,2,FALSE),0)</f>
      </c>
    </row>
    <row r="76" hidden="1" spans="1:4" x14ac:dyDescent="0.25">
      <c r="A76" t="s">
        <v>73</v>
      </c>
      <c r="B76" s="1">
        <f>IF(D76&gt;0,D76,0)</f>
        <v>0</v>
      </c>
      <c r="C76" s="1">
        <f>IF(D76&lt;0,-D76,0)</f>
        <v>0</v>
      </c>
      <c r="D76" s="1">
        <f>IFERROR(VLOOKUP(A76,$A$242:$B$359,2,FALSE),0)</f>
      </c>
    </row>
    <row r="77" spans="1:4" x14ac:dyDescent="0.25">
      <c r="A77" t="s">
        <v>74</v>
      </c>
      <c r="B77" s="1">
        <f>IF(D77&gt;0,D77,0)</f>
        <v>191759.55000000002</v>
      </c>
      <c r="C77" s="1">
        <f>IF(D77&lt;0,-D77,0)</f>
        <v>0</v>
      </c>
      <c r="D77" s="1">
        <f>IFERROR(VLOOKUP(A77,$A$242:$B$359,2,FALSE),0)</f>
        <v>191759.55000000002</v>
      </c>
    </row>
    <row r="78" hidden="1" spans="1:4" x14ac:dyDescent="0.25">
      <c r="A78" t="s">
        <v>75</v>
      </c>
      <c r="B78" s="1">
        <f>IF(D78&gt;0,D78,0)</f>
        <v>0</v>
      </c>
      <c r="C78" s="1">
        <f>IF(D78&lt;0,-D78,0)</f>
        <v>0</v>
      </c>
      <c r="D78" s="1">
        <f>IFERROR(VLOOKUP(A78,$A$242:$B$359,2,FALSE),0)</f>
      </c>
    </row>
    <row r="79" spans="1:4" x14ac:dyDescent="0.25">
      <c r="A79" t="s">
        <v>76</v>
      </c>
      <c r="B79" s="1">
        <f>IF(D79&gt;0,D79,0)</f>
        <v>0</v>
      </c>
      <c r="C79" s="1">
        <f>IF(D79&lt;0,-D79,0)</f>
        <v>0.14</v>
      </c>
      <c r="D79" s="1">
        <f>IFERROR(VLOOKUP(A79,$A$242:$B$359,2,FALSE),0)</f>
        <v>-0.14</v>
      </c>
    </row>
    <row r="80" hidden="1" spans="1:4" x14ac:dyDescent="0.25">
      <c r="A80" t="s">
        <v>77</v>
      </c>
      <c r="B80" s="1">
        <f>IF(D80&gt;0,D80,0)</f>
        <v>0</v>
      </c>
      <c r="C80" s="1">
        <f>IF(D80&lt;0,-D80,0)</f>
        <v>0</v>
      </c>
      <c r="D80" s="1">
        <f>IFERROR(VLOOKUP(A80,$A$242:$B$359,2,FALSE),0)</f>
      </c>
    </row>
    <row r="81" hidden="1" spans="1:4" x14ac:dyDescent="0.25">
      <c r="A81" t="s">
        <v>78</v>
      </c>
      <c r="B81" s="1">
        <f>IF(D81&gt;0,D81,0)</f>
        <v>0</v>
      </c>
      <c r="C81" s="1">
        <f>IF(D81&lt;0,-D81,0)</f>
        <v>0</v>
      </c>
      <c r="D81" s="1">
        <f>IFERROR(VLOOKUP(A81,$A$242:$B$359,2,FALSE),0)</f>
      </c>
    </row>
    <row r="82" spans="1:4" x14ac:dyDescent="0.25">
      <c r="A82" t="s">
        <v>79</v>
      </c>
      <c r="B82" s="1">
        <f>IF(D82&gt;0,D82,0)</f>
        <v>32024141</v>
      </c>
      <c r="C82" s="1">
        <f>IF(D82&lt;0,-D82,0)</f>
        <v>0</v>
      </c>
      <c r="D82" s="1">
        <f>IFERROR(VLOOKUP(A82,$A$242:$B$359,2,FALSE),0)</f>
        <v>32024141</v>
      </c>
    </row>
    <row r="83" spans="1:4" x14ac:dyDescent="0.25">
      <c r="A83" t="s">
        <v>80</v>
      </c>
      <c r="B83" s="1">
        <f>IF(D83&gt;0,D83,0)</f>
        <v>5922590.54</v>
      </c>
      <c r="C83" s="1">
        <f>IF(D83&lt;0,-D83,0)</f>
        <v>0</v>
      </c>
      <c r="D83" s="1">
        <f>IFERROR(VLOOKUP(A83,$A$242:$B$359,2,FALSE),0)</f>
        <v>5922590.54</v>
      </c>
    </row>
    <row r="84" spans="1:4" x14ac:dyDescent="0.25">
      <c r="A84" t="s">
        <v>81</v>
      </c>
      <c r="B84" s="1">
        <f>IF(D84&gt;0,D84,0)</f>
        <v>0</v>
      </c>
      <c r="C84" s="1">
        <f>IF(D84&lt;0,-D84,0)</f>
        <v>256874.41</v>
      </c>
      <c r="D84" s="1">
        <f>IFERROR(VLOOKUP(A84,$A$242:$B$359,2,FALSE),0)</f>
        <v>-256874.41</v>
      </c>
    </row>
    <row r="85" spans="1:4" x14ac:dyDescent="0.25">
      <c r="A85" t="s">
        <v>82</v>
      </c>
      <c r="B85" s="1">
        <f>IF(D85&gt;0,D85,0)</f>
        <v>83974.39</v>
      </c>
      <c r="C85" s="1">
        <f>IF(D85&lt;0,-D85,0)</f>
        <v>0</v>
      </c>
      <c r="D85" s="1">
        <f>IFERROR(VLOOKUP(A85,$A$242:$B$359,2,FALSE),0)</f>
        <v>83974.39</v>
      </c>
    </row>
    <row r="86" spans="1:4" x14ac:dyDescent="0.25">
      <c r="A86" t="s">
        <v>83</v>
      </c>
      <c r="B86" s="1">
        <f>IF(D86&gt;0,D86,0)</f>
        <v>0</v>
      </c>
      <c r="C86" s="1">
        <f>IF(D86&lt;0,-D86,0)</f>
        <v>16382.87</v>
      </c>
      <c r="D86" s="1">
        <f>IFERROR(VLOOKUP(A86,$A$242:$B$359,2,FALSE),0)</f>
        <v>-16382.87</v>
      </c>
    </row>
    <row r="87" hidden="1" spans="1:4" x14ac:dyDescent="0.25">
      <c r="A87" t="s">
        <v>84</v>
      </c>
      <c r="B87" s="1">
        <f>IF(D87&gt;0,D87,0)</f>
        <v>0</v>
      </c>
      <c r="C87" s="1">
        <f>IF(D87&lt;0,-D87,0)</f>
        <v>0</v>
      </c>
      <c r="D87" s="1">
        <f>IFERROR(VLOOKUP(A87,$A$242:$B$359,2,FALSE),0)</f>
      </c>
    </row>
    <row r="88" spans="1:4" x14ac:dyDescent="0.25">
      <c r="A88" t="s">
        <v>85</v>
      </c>
      <c r="B88" s="1">
        <f>IF(D88&gt;0,D88,0)</f>
        <v>0</v>
      </c>
      <c r="C88" s="1">
        <f>IF(D88&lt;0,-D88,0)</f>
        <v>1090800</v>
      </c>
      <c r="D88" s="1">
        <f>IFERROR(VLOOKUP(A88,$A$242:$B$359,2,FALSE),0)</f>
        <v>-1090800</v>
      </c>
    </row>
    <row r="89" hidden="1" spans="1:4" x14ac:dyDescent="0.25">
      <c r="A89" t="s">
        <v>86</v>
      </c>
      <c r="B89" s="1">
        <f>IF(D89&gt;0,D89,0)</f>
        <v>0</v>
      </c>
      <c r="C89" s="1">
        <f>IF(D89&lt;0,-D89,0)</f>
        <v>0</v>
      </c>
      <c r="D89" s="1">
        <f>IFERROR(VLOOKUP(A89,$A$242:$B$359,2,FALSE),0)</f>
      </c>
    </row>
    <row r="90" hidden="1" spans="1:4" x14ac:dyDescent="0.25">
      <c r="A90" t="s">
        <v>87</v>
      </c>
      <c r="B90" s="1">
        <f>IF(D90&gt;0,D90,0)</f>
        <v>0</v>
      </c>
      <c r="C90" s="1">
        <f>IF(D90&lt;0,-D90,0)</f>
        <v>0</v>
      </c>
      <c r="D90" s="1">
        <f>IFERROR(VLOOKUP(A90,$A$242:$B$359,2,FALSE),0)</f>
      </c>
    </row>
    <row r="91" hidden="1" spans="1:4" x14ac:dyDescent="0.25">
      <c r="A91" t="s">
        <v>88</v>
      </c>
      <c r="B91" s="1">
        <f>IF(D91&gt;0,D91,0)</f>
        <v>0</v>
      </c>
      <c r="C91" s="1">
        <f>IF(D91&lt;0,-D91,0)</f>
        <v>0</v>
      </c>
      <c r="D91" s="1">
        <f>IFERROR(VLOOKUP(A91,$A$242:$B$359,2,FALSE),0)</f>
      </c>
    </row>
    <row r="92" hidden="1" spans="1:4" x14ac:dyDescent="0.25">
      <c r="A92" t="s">
        <v>89</v>
      </c>
      <c r="B92" s="1">
        <f>IF(D92&gt;0,D92,0)</f>
        <v>0</v>
      </c>
      <c r="C92" s="1">
        <f>IF(D92&lt;0,-D92,0)</f>
        <v>0</v>
      </c>
      <c r="D92" s="1">
        <f>IFERROR(VLOOKUP(A92,$A$242:$B$359,2,FALSE),0)</f>
      </c>
    </row>
    <row r="93" hidden="1" spans="1:4" x14ac:dyDescent="0.25">
      <c r="A93" t="s">
        <v>90</v>
      </c>
      <c r="B93" s="1">
        <f>IF(D93&gt;0,D93,0)</f>
        <v>0</v>
      </c>
      <c r="C93" s="1">
        <f>IF(D93&lt;0,-D93,0)</f>
        <v>0</v>
      </c>
      <c r="D93" s="1">
        <f>IFERROR(VLOOKUP(A93,$A$242:$B$359,2,FALSE),0)</f>
      </c>
    </row>
    <row r="94" hidden="1" spans="1:4" x14ac:dyDescent="0.25">
      <c r="A94" t="s">
        <v>91</v>
      </c>
      <c r="B94" s="1">
        <f>IF(D94&gt;0,D94,0)</f>
        <v>0</v>
      </c>
      <c r="C94" s="1">
        <f>IF(D94&lt;0,-D94,0)</f>
        <v>0</v>
      </c>
      <c r="D94" s="1">
        <f>IFERROR(VLOOKUP(A94,$A$242:$B$359,2,FALSE),0)</f>
      </c>
    </row>
    <row r="95" spans="1:4" x14ac:dyDescent="0.25">
      <c r="A95" t="s">
        <v>92</v>
      </c>
      <c r="B95" s="1">
        <f>IF(D95&gt;0,D95,0)</f>
        <v>7949700</v>
      </c>
      <c r="C95" s="1">
        <f>IF(D95&lt;0,-D95,0)</f>
        <v>0</v>
      </c>
      <c r="D95" s="1">
        <f>IFERROR(VLOOKUP(A95,$A$242:$B$359,2,FALSE),0)</f>
        <v>7949700</v>
      </c>
    </row>
    <row r="96" hidden="1" spans="1:4" x14ac:dyDescent="0.25">
      <c r="A96" t="s">
        <v>93</v>
      </c>
      <c r="B96" s="1">
        <f>IF(D96&gt;0,D96,0)</f>
        <v>0</v>
      </c>
      <c r="C96" s="1">
        <f>IF(D96&lt;0,-D96,0)</f>
        <v>0</v>
      </c>
      <c r="D96" s="1">
        <f>IFERROR(VLOOKUP(A96,$A$242:$B$359,2,FALSE),0)</f>
      </c>
    </row>
    <row r="97" hidden="1" spans="1:4" x14ac:dyDescent="0.25">
      <c r="A97" t="s">
        <v>94</v>
      </c>
      <c r="B97" s="1">
        <f>IF(D97&gt;0,D97,0)</f>
        <v>0</v>
      </c>
      <c r="C97" s="1">
        <f>IF(D97&lt;0,-D97,0)</f>
        <v>0</v>
      </c>
      <c r="D97" s="1">
        <f>IFERROR(VLOOKUP(A97,$A$242:$B$359,2,FALSE),0)</f>
      </c>
    </row>
    <row r="98" hidden="1" spans="1:4" x14ac:dyDescent="0.25">
      <c r="A98" t="s">
        <v>95</v>
      </c>
      <c r="B98" s="1">
        <f>IF(D98&gt;0,D98,0)</f>
        <v>0</v>
      </c>
      <c r="C98" s="1">
        <f>IF(D98&lt;0,-D98,0)</f>
        <v>0</v>
      </c>
      <c r="D98" s="1">
        <f>IFERROR(VLOOKUP(A98,$A$242:$B$359,2,FALSE),0)</f>
      </c>
    </row>
    <row r="99" hidden="1" spans="1:4" x14ac:dyDescent="0.25">
      <c r="A99" t="s">
        <v>96</v>
      </c>
      <c r="B99" s="1">
        <f>IF(D99&gt;0,D99,0)</f>
        <v>0</v>
      </c>
      <c r="C99" s="1">
        <f>IF(D99&lt;0,-D99,0)</f>
        <v>0</v>
      </c>
      <c r="D99" s="1">
        <f>IFERROR(VLOOKUP(A99,$A$242:$B$359,2,FALSE),0)</f>
      </c>
    </row>
    <row r="100" hidden="1" spans="1:4" x14ac:dyDescent="0.25">
      <c r="A100" t="s">
        <v>97</v>
      </c>
      <c r="B100" s="1">
        <f>IF(D100&gt;0,D100,0)</f>
        <v>0</v>
      </c>
      <c r="C100" s="1">
        <f>IF(D100&lt;0,-D100,0)</f>
        <v>0</v>
      </c>
      <c r="D100" s="1">
        <f>IFERROR(VLOOKUP(A100,$A$242:$B$359,2,FALSE),0)</f>
      </c>
    </row>
    <row r="101" spans="1:4" x14ac:dyDescent="0.25">
      <c r="A101" t="s">
        <v>98</v>
      </c>
      <c r="B101" s="1">
        <f>IF(D101&gt;0,D101,0)</f>
        <v>0</v>
      </c>
      <c r="C101" s="1">
        <f>IF(D101&lt;0,-D101,0)</f>
        <v>9748121.08</v>
      </c>
      <c r="D101" s="1">
        <f>IFERROR(VLOOKUP(A101,$A$242:$B$359,2,FALSE),0)</f>
        <v>-9748121.08</v>
      </c>
    </row>
    <row r="102" hidden="1" spans="1:4" x14ac:dyDescent="0.25">
      <c r="A102" t="s">
        <v>99</v>
      </c>
      <c r="B102" s="1">
        <f>IF(D102&gt;0,D102,0)</f>
        <v>0</v>
      </c>
      <c r="C102" s="1">
        <f>IF(D102&lt;0,-D102,0)</f>
        <v>0</v>
      </c>
      <c r="D102" s="1">
        <f>IFERROR(VLOOKUP(A102,$A$242:$B$359,2,FALSE),0)</f>
      </c>
    </row>
    <row r="103" hidden="1" spans="1:4" x14ac:dyDescent="0.25">
      <c r="A103" t="s">
        <v>100</v>
      </c>
      <c r="B103" s="1">
        <f>IF(D103&gt;0,D103,0)</f>
        <v>0</v>
      </c>
      <c r="C103" s="1">
        <f>IF(D103&lt;0,-D103,0)</f>
        <v>0</v>
      </c>
      <c r="D103" s="1">
        <f>IFERROR(VLOOKUP(A103,$A$242:$B$359,2,FALSE),0)</f>
      </c>
    </row>
    <row r="104" hidden="1" spans="1:4" x14ac:dyDescent="0.25">
      <c r="A104" t="s">
        <v>101</v>
      </c>
      <c r="B104" s="1">
        <f>IF(D104&gt;0,D104,0)</f>
        <v>0</v>
      </c>
      <c r="C104" s="1">
        <f>IF(D104&lt;0,-D104,0)</f>
        <v>0</v>
      </c>
      <c r="D104" s="1">
        <f>IFERROR(VLOOKUP(A104,$A$242:$B$359,2,FALSE),0)</f>
      </c>
    </row>
    <row r="105" hidden="1" spans="1:4" x14ac:dyDescent="0.25">
      <c r="A105" t="s">
        <v>102</v>
      </c>
      <c r="B105" s="1">
        <f>IF(D105&gt;0,D105,0)</f>
        <v>0</v>
      </c>
      <c r="C105" s="1">
        <f>IF(D105&lt;0,-D105,0)</f>
        <v>0</v>
      </c>
      <c r="D105" s="1">
        <f>IFERROR(VLOOKUP(A105,$A$242:$B$359,2,FALSE),0)</f>
      </c>
    </row>
    <row r="106" hidden="1" spans="1:4" x14ac:dyDescent="0.25">
      <c r="A106" t="s">
        <v>103</v>
      </c>
      <c r="B106" s="1">
        <f>IF(D106&gt;0,D106,0)</f>
        <v>0</v>
      </c>
      <c r="C106" s="1">
        <f>IF(D106&lt;0,-D106,0)</f>
        <v>0</v>
      </c>
      <c r="D106" s="1">
        <f>IFERROR(VLOOKUP(A106,$A$242:$B$359,2,FALSE),0)</f>
      </c>
    </row>
    <row r="107" hidden="1" spans="1:4" x14ac:dyDescent="0.25">
      <c r="A107" t="s">
        <v>104</v>
      </c>
      <c r="B107" s="1">
        <f>IF(D107&gt;0,D107,0)</f>
        <v>0</v>
      </c>
      <c r="C107" s="1">
        <f>IF(D107&lt;0,-D107,0)</f>
        <v>0</v>
      </c>
      <c r="D107" s="1">
        <f>IFERROR(VLOOKUP(A107,$A$242:$B$359,2,FALSE),0)</f>
      </c>
    </row>
    <row r="108" hidden="1" spans="1:4" x14ac:dyDescent="0.25">
      <c r="A108" t="s">
        <v>105</v>
      </c>
      <c r="B108" s="1">
        <f>IF(D108&gt;0,D108,0)</f>
        <v>0</v>
      </c>
      <c r="C108" s="1">
        <f>IF(D108&lt;0,-D108,0)</f>
        <v>0</v>
      </c>
      <c r="D108" s="1">
        <f>IFERROR(VLOOKUP(A108,$A$242:$B$359,2,FALSE),0)</f>
      </c>
    </row>
    <row r="109" hidden="1" spans="1:4" x14ac:dyDescent="0.25">
      <c r="A109" t="s">
        <v>106</v>
      </c>
      <c r="B109" s="1">
        <f>IF(D109&gt;0,D109,0)</f>
        <v>0</v>
      </c>
      <c r="C109" s="1">
        <f>IF(D109&lt;0,-D109,0)</f>
        <v>0</v>
      </c>
      <c r="D109" s="1">
        <f>IFERROR(VLOOKUP(A109,$A$242:$B$359,2,FALSE),0)</f>
      </c>
    </row>
    <row r="110" hidden="1" spans="2:4" x14ac:dyDescent="0.25">
      <c r="B110" s="1">
        <f>IF(D110&gt;0,D110,0)</f>
        <v>0</v>
      </c>
      <c r="C110" s="1">
        <f>IF(D110&lt;0,-D110,0)</f>
        <v>0</v>
      </c>
      <c r="D110" s="1">
        <f>IFERROR(VLOOKUP(A110,$A$242:$B$359,2,FALSE),0)</f>
      </c>
    </row>
    <row r="111" hidden="1" spans="2:4" x14ac:dyDescent="0.25">
      <c r="B111" s="1">
        <f>IF(D111&gt;0,D111,0)</f>
        <v>0</v>
      </c>
      <c r="C111" s="1">
        <f>IF(D111&lt;0,-D111,0)</f>
        <v>0</v>
      </c>
      <c r="D111" s="1">
        <f>IFERROR(VLOOKUP(A111,$A$242:$B$359,2,FALSE),0)</f>
      </c>
    </row>
    <row r="112" hidden="1" spans="1:4" x14ac:dyDescent="0.25">
      <c r="A112" t="s">
        <v>107</v>
      </c>
      <c r="B112" s="1">
        <f>IF(D112&gt;0,D112,0)</f>
        <v>0</v>
      </c>
      <c r="C112" s="1">
        <f>IF(D112&lt;0,-D112,0)</f>
        <v>0</v>
      </c>
      <c r="D112" s="1">
        <f>IFERROR(VLOOKUP(A112,$A$242:$B$359,2,FALSE),0)</f>
      </c>
    </row>
    <row r="113" hidden="1" spans="1:4" x14ac:dyDescent="0.25">
      <c r="A113" t="s">
        <v>108</v>
      </c>
      <c r="B113" s="1">
        <f>IF(D113&gt;0,D113,0)</f>
        <v>0</v>
      </c>
      <c r="C113" s="1">
        <f>IF(D113&lt;0,-D113,0)</f>
        <v>0</v>
      </c>
      <c r="D113" s="1">
        <f>IFERROR(VLOOKUP(A113,$A$242:$B$359,2,FALSE),0)</f>
      </c>
    </row>
    <row r="114" spans="1:4" x14ac:dyDescent="0.25">
      <c r="A114" t="s">
        <v>109</v>
      </c>
      <c r="B114" s="1">
        <f>IF(D114&gt;0,D114,0)</f>
        <v>48674.67</v>
      </c>
      <c r="C114" s="1">
        <f>IF(D114&lt;0,-D114,0)</f>
        <v>0</v>
      </c>
      <c r="D114" s="1">
        <f>IFERROR(VLOOKUP(A114,$A$242:$B$359,2,FALSE),0)</f>
        <v>48674.67</v>
      </c>
    </row>
    <row r="115" spans="1:4" x14ac:dyDescent="0.25">
      <c r="A115" t="s">
        <v>110</v>
      </c>
      <c r="B115" s="1">
        <f>IF(D115&gt;0,D115,0)</f>
        <v>0</v>
      </c>
      <c r="C115" s="1">
        <f>IF(D115&lt;0,-D115,0)</f>
        <v>151501.92</v>
      </c>
      <c r="D115" s="1">
        <f>IFERROR(VLOOKUP(A115,$A$242:$B$359,2,FALSE),0)</f>
        <v>-151501.92</v>
      </c>
    </row>
    <row r="116" hidden="1" spans="1:4" x14ac:dyDescent="0.25">
      <c r="A116" t="s">
        <v>111</v>
      </c>
      <c r="B116" s="1">
        <f>IF(D116&gt;0,D116,0)</f>
        <v>0</v>
      </c>
      <c r="C116" s="1">
        <f>IF(D116&lt;0,-D116,0)</f>
        <v>0</v>
      </c>
      <c r="D116" s="1">
        <f>IFERROR(VLOOKUP(A116,$A$242:$B$359,2,FALSE),0)</f>
      </c>
    </row>
    <row r="117" spans="4:7" x14ac:dyDescent="0.25">
      <c r="D117" s="1">
        <f>SUM(D53:D116)</f>
        <v>49796482.650000006</v>
      </c>
      <c r="E117" s="2">
        <f>SUM(B53:B116)</f>
        <v>69009863.07000001</v>
      </c>
      <c r="F117" s="2">
        <f>SUM(C53:C116)</f>
        <v>19213380.42</v>
      </c>
      <c r="G117" s="2">
        <f>+E117-F117-D117</f>
        <v>0</v>
      </c>
    </row>
    <row r="118" hidden="1" spans="1:1" x14ac:dyDescent="0.25">
      <c r="A118" t="s">
        <v>112</v>
      </c>
    </row>
    <row r="119" hidden="1" spans="1:1" x14ac:dyDescent="0.25">
      <c r="A119" t="s">
        <v>113</v>
      </c>
    </row>
    <row r="120" hidden="1" spans="1:1" x14ac:dyDescent="0.25">
      <c r="A120" t="s">
        <v>114</v>
      </c>
    </row>
    <row r="121" spans="1:1" x14ac:dyDescent="0.25">
      <c r="A121" t="s">
        <v>115</v>
      </c>
    </row>
    <row r="123" hidden="1" spans="1:4" x14ac:dyDescent="0.25">
      <c r="A123" t="s">
        <v>116</v>
      </c>
      <c r="B123" s="1">
        <f>IF(D123&gt;0,D123,0)</f>
        <v>0</v>
      </c>
      <c r="C123" s="1">
        <f>IF(D123&lt;0,-D123,0)</f>
        <v>0</v>
      </c>
      <c r="D123" s="1">
        <f>IFERROR(VLOOKUP(A123,$A$242:$B$359,2,FALSE),0)</f>
      </c>
    </row>
    <row r="124" hidden="1" spans="1:4" x14ac:dyDescent="0.25">
      <c r="A124" t="s">
        <v>117</v>
      </c>
      <c r="B124" s="1">
        <f>IF(D124&gt;0,D124,0)</f>
        <v>0</v>
      </c>
      <c r="C124" s="1">
        <f>IF(D124&lt;0,-D124,0)</f>
        <v>0</v>
      </c>
      <c r="D124" s="1">
        <f>IFERROR(VLOOKUP(A124,$A$242:$B$359,2,FALSE),0)</f>
      </c>
    </row>
    <row r="125" hidden="1" spans="1:4" x14ac:dyDescent="0.25">
      <c r="A125" t="s">
        <v>118</v>
      </c>
      <c r="B125" s="1">
        <f>IF(D125&gt;0,D125,0)</f>
        <v>0</v>
      </c>
      <c r="C125" s="1">
        <f>IF(D125&lt;0,-D125,0)</f>
        <v>0</v>
      </c>
      <c r="D125" s="1">
        <v>0</v>
      </c>
    </row>
    <row r="126" hidden="1" spans="4:4" x14ac:dyDescent="0.25">
      <c r="D126" s="1">
        <f>SUM(D123:D125)</f>
        <v>0</v>
      </c>
    </row>
    <row r="127" spans="1:1" x14ac:dyDescent="0.25">
      <c r="A127" t="s">
        <v>119</v>
      </c>
    </row>
    <row r="129" hidden="1" spans="1:4" x14ac:dyDescent="0.25">
      <c r="A129" t="s">
        <v>120</v>
      </c>
      <c r="B129" s="1">
        <f>IF(D129&gt;0,D129,0)</f>
        <v>0</v>
      </c>
      <c r="C129" s="1">
        <f>IF(D129&lt;0,-D129,0)</f>
        <v>0</v>
      </c>
      <c r="D129" s="1">
        <f>IFERROR(VLOOKUP(A129,$A$242:$B$359,2,FALSE),0)</f>
      </c>
    </row>
    <row r="130" hidden="1" spans="1:4" x14ac:dyDescent="0.25">
      <c r="A130" t="s">
        <v>121</v>
      </c>
      <c r="B130" s="1">
        <f>IF(D130&gt;0,D130,0)</f>
        <v>0</v>
      </c>
      <c r="C130" s="1">
        <f>IF(D130&lt;0,-D130,0)</f>
        <v>0</v>
      </c>
      <c r="D130" s="1">
        <f>IFERROR(VLOOKUP(A130,$A$242:$B$359,2,FALSE),0)</f>
      </c>
    </row>
    <row r="131" spans="1:4" x14ac:dyDescent="0.25">
      <c r="A131" t="s">
        <v>122</v>
      </c>
      <c r="B131" s="1">
        <f>IF(D131&gt;0,D131,0)</f>
        <v>0</v>
      </c>
      <c r="C131" s="1">
        <f>IF(D131&lt;0,-D131,0)</f>
        <v>677309.4400000001</v>
      </c>
      <c r="D131" s="1">
        <f>IFERROR(VLOOKUP(A131,$A$242:$B$359,2,FALSE),0)</f>
        <v>-677309.4400000001</v>
      </c>
    </row>
    <row r="132" hidden="1" spans="1:4" x14ac:dyDescent="0.25">
      <c r="A132" t="s">
        <v>123</v>
      </c>
      <c r="B132" s="1">
        <f>IF(D132&gt;0,D132,0)</f>
        <v>0</v>
      </c>
      <c r="C132" s="1">
        <f>IF(D132&lt;0,-D132,0)</f>
        <v>0</v>
      </c>
      <c r="D132" s="1">
        <f>IFERROR(VLOOKUP(A132,$A$242:$B$359,2,FALSE),0)</f>
      </c>
    </row>
    <row r="133" hidden="1" spans="1:4" x14ac:dyDescent="0.25">
      <c r="A133" t="s">
        <v>124</v>
      </c>
      <c r="B133" s="1">
        <f>IF(D133&gt;0,D133,0)</f>
        <v>0</v>
      </c>
      <c r="C133" s="1">
        <f>IF(D133&lt;0,-D133,0)</f>
        <v>0</v>
      </c>
      <c r="D133" s="1">
        <f>IFERROR(VLOOKUP(A133,$A$242:$B$359,2,FALSE),0)</f>
      </c>
    </row>
    <row r="134" hidden="1" spans="1:4" x14ac:dyDescent="0.25">
      <c r="A134" t="s">
        <v>125</v>
      </c>
      <c r="B134" s="1">
        <f>IF(D134&gt;0,D134,0)</f>
        <v>0</v>
      </c>
      <c r="C134" s="1">
        <f>IF(D134&lt;0,-D134,0)</f>
        <v>0</v>
      </c>
      <c r="D134" s="1">
        <f>IFERROR(VLOOKUP(A134,$A$242:$B$359,2,FALSE),0)</f>
      </c>
    </row>
    <row r="135" hidden="1" spans="1:4" x14ac:dyDescent="0.25">
      <c r="A135" t="s">
        <v>126</v>
      </c>
      <c r="B135" s="1">
        <f>IF(D135&gt;0,D135,0)</f>
        <v>0</v>
      </c>
      <c r="C135" s="1">
        <f>IF(D135&lt;0,-D135,0)</f>
        <v>0</v>
      </c>
      <c r="D135" s="1">
        <f>IFERROR(VLOOKUP(A135,$A$242:$B$359,2,FALSE),0)</f>
      </c>
    </row>
    <row r="136" hidden="1" spans="1:4" x14ac:dyDescent="0.25">
      <c r="A136" t="s">
        <v>127</v>
      </c>
      <c r="B136" s="1">
        <f>IF(D136&gt;0,D136,0)</f>
        <v>0</v>
      </c>
      <c r="C136" s="1">
        <f>IF(D136&lt;0,-D136,0)</f>
        <v>0</v>
      </c>
      <c r="D136" s="1">
        <f>IFERROR(VLOOKUP(A136,$A$242:$B$359,2,FALSE),0)</f>
      </c>
    </row>
    <row r="137" hidden="1" spans="1:4" x14ac:dyDescent="0.25">
      <c r="A137" t="s">
        <v>128</v>
      </c>
      <c r="B137" s="1">
        <f>IF(D137&gt;0,D137,0)</f>
        <v>0</v>
      </c>
      <c r="C137" s="1">
        <f>IF(D137&lt;0,-D137,0)</f>
        <v>0</v>
      </c>
      <c r="D137" s="1">
        <f>IFERROR(VLOOKUP(A137,$A$242:$B$359,2,FALSE),0)</f>
      </c>
    </row>
    <row r="138" hidden="1" spans="1:4" x14ac:dyDescent="0.25">
      <c r="A138" t="s">
        <v>129</v>
      </c>
      <c r="B138" s="1">
        <f>IF(D138&gt;0,D138,0)</f>
        <v>0</v>
      </c>
      <c r="C138" s="1">
        <f>IF(D138&lt;0,-D138,0)</f>
        <v>0</v>
      </c>
      <c r="D138" s="1">
        <f>IFERROR(VLOOKUP(A138,$A$242:$B$359,2,FALSE),0)</f>
      </c>
    </row>
    <row r="139" spans="1:4" x14ac:dyDescent="0.25">
      <c r="A139" t="s">
        <v>130</v>
      </c>
      <c r="B139" s="1">
        <f>IF(D139&gt;0,D139,0)</f>
        <v>27550003.8</v>
      </c>
      <c r="C139" s="1">
        <f>IF(D139&lt;0,-D139,0)</f>
        <v>0</v>
      </c>
      <c r="D139" s="1">
        <f>IFERROR(VLOOKUP(A139,$A$242:$B$359,2,FALSE),0)</f>
        <v>27550003.8</v>
      </c>
    </row>
    <row r="140" spans="1:4" x14ac:dyDescent="0.25">
      <c r="A140" t="s">
        <v>131</v>
      </c>
      <c r="B140" s="1">
        <f>IF(D140&gt;0,D140,0)</f>
        <v>4577701.12</v>
      </c>
      <c r="C140" s="1">
        <f>IF(D140&lt;0,-D140,0)</f>
        <v>0</v>
      </c>
      <c r="D140" s="1">
        <f>IFERROR(VLOOKUP(A140,$A$242:$B$359,2,FALSE),0)</f>
        <v>4577701.12</v>
      </c>
    </row>
    <row r="141" hidden="1" spans="1:4" x14ac:dyDescent="0.25">
      <c r="A141" t="s">
        <v>132</v>
      </c>
      <c r="B141" s="1">
        <f>IF(D141&gt;0,D141,0)</f>
        <v>0</v>
      </c>
      <c r="C141" s="1">
        <f>IF(D141&lt;0,-D141,0)</f>
        <v>0</v>
      </c>
      <c r="D141" s="1">
        <f>IFERROR(VLOOKUP(A141,$A$242:$B$359,2,FALSE),0)</f>
      </c>
    </row>
    <row r="142" hidden="1" spans="1:4" x14ac:dyDescent="0.25">
      <c r="A142" t="s">
        <v>133</v>
      </c>
      <c r="B142" s="1">
        <f>IF(D142&gt;0,D142,0)</f>
        <v>0</v>
      </c>
      <c r="C142" s="1">
        <f>IF(D142&lt;0,-D142,0)</f>
        <v>0</v>
      </c>
      <c r="D142" s="1">
        <f>IFERROR(VLOOKUP(A142,$A$242:$B$359,2,FALSE),0)</f>
      </c>
    </row>
    <row r="143" spans="1:4" x14ac:dyDescent="0.25">
      <c r="A143" t="s">
        <v>134</v>
      </c>
      <c r="B143" s="1">
        <f>IF(D143&gt;0,D143,0)</f>
        <v>8933342.28</v>
      </c>
      <c r="C143" s="1">
        <f>IF(D143&lt;0,-D143,0)</f>
        <v>0</v>
      </c>
      <c r="D143" s="1">
        <f>IFERROR(VLOOKUP(A143,$A$242:$B$359,2,FALSE),0)</f>
        <v>8933342.28</v>
      </c>
    </row>
    <row r="144" hidden="1" spans="1:4" x14ac:dyDescent="0.25">
      <c r="A144" t="s">
        <v>135</v>
      </c>
      <c r="B144" s="1">
        <f>IF(D144&gt;0,D144,0)</f>
        <v>0</v>
      </c>
      <c r="C144" s="1">
        <f>IF(D144&lt;0,-D144,0)</f>
        <v>0</v>
      </c>
      <c r="D144" s="1">
        <f>IFERROR(VLOOKUP(A144,$A$242:$B$359,2,FALSE),0)</f>
      </c>
    </row>
    <row r="145" hidden="1" spans="1:4" x14ac:dyDescent="0.25">
      <c r="A145" t="s">
        <v>136</v>
      </c>
      <c r="B145" s="1">
        <f>IF(D145&gt;0,D145,0)</f>
        <v>0</v>
      </c>
      <c r="C145" s="1">
        <f>IF(D145&lt;0,-D145,0)</f>
        <v>0</v>
      </c>
      <c r="D145" s="1">
        <f>IFERROR(VLOOKUP(A145,$A$242:$B$359,2,FALSE),0)</f>
      </c>
    </row>
    <row r="146" hidden="1" spans="1:4" x14ac:dyDescent="0.25">
      <c r="A146" t="s">
        <v>137</v>
      </c>
      <c r="B146" s="1">
        <f>IF(D146&gt;0,D146,0)</f>
        <v>0</v>
      </c>
      <c r="C146" s="1">
        <f>IF(D146&lt;0,-D146,0)</f>
        <v>0</v>
      </c>
      <c r="D146" s="1">
        <f>IFERROR(VLOOKUP(A146,$A$242:$B$359,2,FALSE),0)</f>
      </c>
    </row>
    <row r="147" hidden="1" spans="1:4" x14ac:dyDescent="0.25">
      <c r="A147" t="s">
        <v>138</v>
      </c>
      <c r="B147" s="1">
        <f>IF(D147&gt;0,D147,0)</f>
        <v>0</v>
      </c>
      <c r="C147" s="1">
        <f>IF(D147&lt;0,-D147,0)</f>
        <v>0</v>
      </c>
      <c r="D147" s="1">
        <f>IFERROR(VLOOKUP(A147,$A$242:$B$359,2,FALSE),0)</f>
      </c>
    </row>
    <row r="148" hidden="1" spans="1:4" x14ac:dyDescent="0.25">
      <c r="A148" t="s">
        <v>139</v>
      </c>
      <c r="B148" s="1">
        <f>IF(D148&gt;0,D148,0)</f>
        <v>0</v>
      </c>
      <c r="C148" s="1">
        <f>IF(D148&lt;0,-D148,0)</f>
        <v>0</v>
      </c>
      <c r="D148" s="1">
        <f>IFERROR(VLOOKUP(A148,$A$242:$B$359,2,FALSE),0)</f>
      </c>
    </row>
    <row r="149" hidden="1" spans="1:4" x14ac:dyDescent="0.25">
      <c r="A149" t="s">
        <v>140</v>
      </c>
      <c r="B149" s="1">
        <f>IF(D149&gt;0,D149,0)</f>
        <v>0</v>
      </c>
      <c r="C149" s="1">
        <f>IF(D149&lt;0,-D149,0)</f>
        <v>0</v>
      </c>
      <c r="D149" s="1">
        <f>IFERROR(VLOOKUP(A149,$A$242:$B$359,2,FALSE),0)</f>
      </c>
    </row>
    <row r="150" hidden="1" spans="1:4" x14ac:dyDescent="0.25">
      <c r="A150" t="s">
        <v>141</v>
      </c>
      <c r="B150" s="1">
        <f>IF(D150&gt;0,D150,0)</f>
        <v>0</v>
      </c>
      <c r="C150" s="1">
        <f>IF(D150&lt;0,-D150,0)</f>
        <v>0</v>
      </c>
      <c r="D150" s="1">
        <f>IFERROR(VLOOKUP(A150,$A$242:$B$359,2,FALSE),0)</f>
      </c>
    </row>
    <row r="151" hidden="1" spans="1:4" x14ac:dyDescent="0.25">
      <c r="A151" t="s">
        <v>142</v>
      </c>
      <c r="B151" s="1">
        <f>IF(D151&gt;0,D151,0)</f>
        <v>0</v>
      </c>
      <c r="C151" s="1">
        <f>IF(D151&lt;0,-D151,0)</f>
        <v>0</v>
      </c>
      <c r="D151" s="1">
        <f>IFERROR(VLOOKUP(A151,$A$242:$B$359,2,FALSE),0)</f>
      </c>
    </row>
    <row r="152" hidden="1" spans="1:4" x14ac:dyDescent="0.25">
      <c r="A152" t="s">
        <v>143</v>
      </c>
      <c r="B152" s="1">
        <f>IF(D152&gt;0,D152,0)</f>
        <v>0</v>
      </c>
      <c r="C152" s="1">
        <f>IF(D152&lt;0,-D152,0)</f>
        <v>0</v>
      </c>
      <c r="D152" s="1">
        <f>IFERROR(VLOOKUP(A152,$A$242:$B$359,2,FALSE),0)</f>
      </c>
    </row>
    <row r="153" hidden="1" spans="1:4" x14ac:dyDescent="0.25">
      <c r="A153" t="s">
        <v>144</v>
      </c>
      <c r="B153" s="1">
        <f>IF(D153&gt;0,D153,0)</f>
        <v>0</v>
      </c>
      <c r="C153" s="1">
        <f>IF(D153&lt;0,-D153,0)</f>
        <v>0</v>
      </c>
      <c r="D153" s="1">
        <f>IFERROR(VLOOKUP(A153,$A$242:$B$359,2,FALSE),0)</f>
      </c>
    </row>
    <row r="154" spans="1:4" x14ac:dyDescent="0.25">
      <c r="A154" t="s">
        <v>145</v>
      </c>
      <c r="B154" s="1">
        <f>IF(D154&gt;0,D154,0)</f>
        <v>7949700</v>
      </c>
      <c r="C154" s="1">
        <f>IF(D154&lt;0,-D154,0)</f>
        <v>0</v>
      </c>
      <c r="D154" s="1">
        <f>IFERROR(VLOOKUP(A154,$A$242:$B$359,2,FALSE),0)</f>
        <v>7949700</v>
      </c>
    </row>
    <row r="155" hidden="1" spans="1:4" x14ac:dyDescent="0.25">
      <c r="A155" t="s">
        <v>146</v>
      </c>
      <c r="B155" s="1">
        <f>IF(D155&gt;0,D155,0)</f>
        <v>0</v>
      </c>
      <c r="C155" s="1">
        <f>IF(D155&lt;0,-D155,0)</f>
        <v>0</v>
      </c>
      <c r="D155" s="1">
        <f>IFERROR(VLOOKUP(A155,$A$242:$B$359,2,FALSE),0)</f>
      </c>
    </row>
    <row r="156" spans="1:4" x14ac:dyDescent="0.25">
      <c r="A156" t="s">
        <v>147</v>
      </c>
      <c r="B156" s="1">
        <f>IF(D156&gt;0,D156,0)</f>
        <v>508928</v>
      </c>
      <c r="C156" s="1">
        <f>IF(D156&lt;0,-D156,0)</f>
        <v>0</v>
      </c>
      <c r="D156" s="1">
        <f>IFERROR(VLOOKUP(A156,$A$242:$B$359,2,FALSE),0)</f>
        <v>508928</v>
      </c>
    </row>
    <row r="157" spans="1:4" x14ac:dyDescent="0.25">
      <c r="A157" t="s">
        <v>148</v>
      </c>
      <c r="B157" s="1">
        <f>IF(D157&gt;0,D157,0)</f>
        <v>0</v>
      </c>
      <c r="C157" s="1">
        <f>IF(D157&lt;0,-D157,0)</f>
        <v>5080374</v>
      </c>
      <c r="D157" s="1">
        <f>IFERROR(VLOOKUP(A157,$A$242:$B$359,2,FALSE),0)</f>
        <v>-5080374</v>
      </c>
    </row>
    <row r="158" hidden="1" spans="1:4" x14ac:dyDescent="0.25">
      <c r="A158" t="s">
        <v>149</v>
      </c>
      <c r="B158" s="1">
        <f>IF(D158&gt;0,D158,0)</f>
        <v>0</v>
      </c>
      <c r="C158" s="1">
        <f>IF(D158&lt;0,-D158,0)</f>
        <v>0</v>
      </c>
      <c r="D158" s="1">
        <f>IFERROR(VLOOKUP(A158,$A$242:$B$359,2,FALSE),0)</f>
      </c>
    </row>
    <row r="159" hidden="1" spans="1:4" x14ac:dyDescent="0.25">
      <c r="A159" t="s">
        <v>150</v>
      </c>
      <c r="B159" s="1">
        <f>IF(D159&gt;0,D159,0)</f>
        <v>0</v>
      </c>
      <c r="C159" s="1">
        <f>IF(D159&lt;0,-D159,0)</f>
        <v>0</v>
      </c>
      <c r="D159" s="1">
        <f>IFERROR(VLOOKUP(A159,$A$242:$B$359,2,FALSE),0)</f>
      </c>
    </row>
    <row r="160" spans="1:4" x14ac:dyDescent="0.25">
      <c r="A160" t="s">
        <v>151</v>
      </c>
      <c r="B160" s="1">
        <f>IF(D160&gt;0,D160,0)</f>
        <v>72446.22</v>
      </c>
      <c r="C160" s="1">
        <f>IF(D160&lt;0,-D160,0)</f>
        <v>0</v>
      </c>
      <c r="D160" s="1">
        <f>IFERROR(VLOOKUP(A160,$A$242:$B$359,2,FALSE),0)</f>
        <v>72446.22</v>
      </c>
    </row>
    <row r="161" spans="1:4" x14ac:dyDescent="0.25">
      <c r="A161" t="s">
        <v>152</v>
      </c>
      <c r="B161" s="1">
        <f>IF(D161&gt;0,D161,0)</f>
        <v>2485298.32</v>
      </c>
      <c r="C161" s="1">
        <f>IF(D161&lt;0,-D161,0)</f>
        <v>0</v>
      </c>
      <c r="D161" s="1">
        <f>IFERROR(VLOOKUP(A161,$A$242:$B$359,2,FALSE),0)</f>
        <v>2485298.32</v>
      </c>
    </row>
    <row r="162" hidden="1" spans="1:4" x14ac:dyDescent="0.25">
      <c r="A162" t="s">
        <v>153</v>
      </c>
      <c r="B162" s="1">
        <f>IF(D162&gt;0,D162,0)</f>
        <v>0</v>
      </c>
      <c r="C162" s="1">
        <f>IF(D162&lt;0,-D162,0)</f>
        <v>0</v>
      </c>
      <c r="D162" s="1">
        <f>IFERROR(VLOOKUP(A162,$A$242:$B$359,2,FALSE),0)</f>
      </c>
    </row>
    <row r="163" spans="1:4" x14ac:dyDescent="0.25">
      <c r="A163" t="s">
        <v>154</v>
      </c>
      <c r="B163" s="1">
        <f>IF(D163&gt;0,D163,0)</f>
        <v>467976.4</v>
      </c>
      <c r="C163" s="1">
        <f>IF(D163&lt;0,-D163,0)</f>
        <v>0</v>
      </c>
      <c r="D163" s="1">
        <f>IFERROR(VLOOKUP(A163,$A$242:$B$359,2,FALSE),0)</f>
        <v>467976.4</v>
      </c>
    </row>
    <row r="164" hidden="1" spans="1:4" x14ac:dyDescent="0.25">
      <c r="A164" t="s">
        <v>155</v>
      </c>
      <c r="B164" s="1">
        <f>IF(D164&gt;0,D164,0)</f>
        <v>0</v>
      </c>
      <c r="C164" s="1">
        <f>IF(D164&lt;0,-D164,0)</f>
        <v>0</v>
      </c>
      <c r="D164" s="1">
        <f>IFERROR(VLOOKUP(A164,$A$242:$B$359,2,FALSE),0)</f>
      </c>
    </row>
    <row r="165" hidden="1" spans="1:4" x14ac:dyDescent="0.25">
      <c r="A165" t="s">
        <v>156</v>
      </c>
      <c r="B165" s="1">
        <f>IF(D165&gt;0,D165,0)</f>
        <v>0</v>
      </c>
      <c r="C165" s="1">
        <f>IF(D165&lt;0,-D165,0)</f>
        <v>0</v>
      </c>
      <c r="D165" s="1">
        <f>IFERROR(VLOOKUP(A165,$A$242:$B$359,2,FALSE),0)</f>
      </c>
    </row>
    <row r="166" hidden="1" spans="1:4" x14ac:dyDescent="0.25">
      <c r="A166" t="s">
        <v>157</v>
      </c>
      <c r="B166" s="1">
        <f>IF(D166&gt;0,D166,0)</f>
        <v>0</v>
      </c>
      <c r="C166" s="1">
        <f>IF(D166&lt;0,-D166,0)</f>
        <v>0</v>
      </c>
      <c r="D166" s="1">
        <f>IFERROR(VLOOKUP(A166,$A$242:$B$359,2,FALSE),0)</f>
      </c>
    </row>
    <row r="167" hidden="1" spans="1:4" x14ac:dyDescent="0.25">
      <c r="A167" t="s">
        <v>158</v>
      </c>
      <c r="B167" s="1">
        <f>IF(D167&gt;0,D167,0)</f>
        <v>0</v>
      </c>
      <c r="C167" s="1">
        <f>IF(D167&lt;0,-D167,0)</f>
        <v>0</v>
      </c>
      <c r="D167" s="1">
        <f>IFERROR(VLOOKUP(A167,$A$242:$B$359,2,FALSE),0)</f>
      </c>
    </row>
    <row r="168" spans="1:4" x14ac:dyDescent="0.25">
      <c r="A168" t="s">
        <v>159</v>
      </c>
      <c r="B168" s="1">
        <f>IF(D168&gt;0,D168,0)</f>
        <v>5380203.41</v>
      </c>
      <c r="C168" s="1">
        <f>IF(D168&lt;0,-D168,0)</f>
        <v>0</v>
      </c>
      <c r="D168" s="1">
        <f>IFERROR(VLOOKUP(A168,$A$242:$B$359,2,FALSE),0)</f>
        <v>5380203.41</v>
      </c>
    </row>
    <row r="169" hidden="1" spans="1:4" x14ac:dyDescent="0.25">
      <c r="A169" t="s">
        <v>160</v>
      </c>
      <c r="B169" s="1">
        <f>IF(D169&gt;0,D169,0)</f>
        <v>0</v>
      </c>
      <c r="C169" s="1">
        <f>IF(D169&lt;0,-D169,0)</f>
        <v>0</v>
      </c>
      <c r="D169" s="1">
        <f>IFERROR(VLOOKUP(A169,$A$242:$B$359,2,FALSE),0)</f>
      </c>
    </row>
    <row r="170" hidden="1" spans="1:4" x14ac:dyDescent="0.25">
      <c r="A170" t="s">
        <v>161</v>
      </c>
      <c r="B170" s="1">
        <f>IF(D170&gt;0,D170,0)</f>
        <v>0</v>
      </c>
      <c r="C170" s="1">
        <f>IF(D170&lt;0,-D170,0)</f>
        <v>0</v>
      </c>
      <c r="D170" s="1">
        <f>IFERROR(VLOOKUP(A170,$A$242:$B$359,2,FALSE),0)</f>
      </c>
    </row>
    <row r="171" hidden="1" spans="1:4" x14ac:dyDescent="0.25">
      <c r="A171" t="s">
        <v>162</v>
      </c>
      <c r="B171" s="1">
        <f>IF(D171&gt;0,D171,0)</f>
        <v>0</v>
      </c>
      <c r="C171" s="1">
        <f>IF(D171&lt;0,-D171,0)</f>
        <v>0</v>
      </c>
      <c r="D171" s="1">
        <f>IFERROR(VLOOKUP(A171,$A$242:$B$359,2,FALSE),0)</f>
      </c>
    </row>
    <row r="172" hidden="1" spans="1:4" x14ac:dyDescent="0.25">
      <c r="A172" t="s">
        <v>163</v>
      </c>
      <c r="B172" s="1">
        <f>IF(D172&gt;0,D172,0)</f>
        <v>0</v>
      </c>
      <c r="C172" s="1">
        <f>IF(D172&lt;0,-D172,0)</f>
        <v>0</v>
      </c>
      <c r="D172" s="1">
        <f>IFERROR(VLOOKUP(A172,$A$242:$B$359,2,FALSE),0)</f>
      </c>
    </row>
    <row r="173" hidden="1" spans="1:4" x14ac:dyDescent="0.25">
      <c r="A173" t="s">
        <v>164</v>
      </c>
      <c r="B173" s="1">
        <f>IF(D173&gt;0,D173,0)</f>
        <v>0</v>
      </c>
      <c r="C173" s="1">
        <f>IF(D173&lt;0,-D173,0)</f>
        <v>0</v>
      </c>
      <c r="D173" s="1">
        <f>IFERROR(VLOOKUP(A173,$A$242:$B$359,2,FALSE),0)</f>
      </c>
    </row>
    <row r="174" hidden="1" spans="1:4" x14ac:dyDescent="0.25">
      <c r="A174" t="s">
        <v>165</v>
      </c>
      <c r="B174" s="1">
        <f>IF(D174&gt;0,D174,0)</f>
      </c>
      <c r="C174" s="1">
        <f>IF(D174&lt;0,-D174,0)</f>
      </c>
      <c r="D174" s="1">
        <f>IFERROR(VLOOKUP(A174,$A$242:$B$359,2,FALSE),0)</f>
      </c>
    </row>
    <row r="175" spans="1:4" x14ac:dyDescent="0.25">
      <c r="A175" t="s">
        <v>166</v>
      </c>
      <c r="B175" s="1">
        <f>IF(D175&gt;0,D175,0)</f>
        <v>10864965.76</v>
      </c>
      <c r="C175" s="1">
        <f>IF(D175&lt;0,-D175,0)</f>
      </c>
      <c r="D175" s="1">
        <f>IFERROR(VLOOKUP(A175,$A$242:$B$359,2,FALSE),0)</f>
        <v>10864965.76</v>
      </c>
    </row>
    <row r="176" spans="1:4" x14ac:dyDescent="0.25">
      <c r="A176" t="s">
        <v>167</v>
      </c>
      <c r="B176" s="1">
        <f>IF(D176&gt;0,D176,0)</f>
        <v>505527.94</v>
      </c>
      <c r="C176" s="1">
        <f>IF(D176&lt;0,-D176,0)</f>
      </c>
      <c r="D176" s="1">
        <f>IFERROR(VLOOKUP(A176,$A$242:$B$359,2,FALSE),0)</f>
        <v>505527.94</v>
      </c>
    </row>
    <row r="177" spans="1:4" x14ac:dyDescent="0.25">
      <c r="A177" t="s">
        <v>168</v>
      </c>
      <c r="B177" s="1">
        <f>IF(D177&gt;0,D177,0)</f>
      </c>
      <c r="C177" s="1">
        <f>IF(D177&lt;0,-D177,0)</f>
      </c>
      <c r="D177" s="1">
        <f>IFERROR(VLOOKUP(A177,$A$242:$B$359,2,FALSE),0)</f>
      </c>
    </row>
    <row r="178" spans="1:4" x14ac:dyDescent="0.25">
      <c r="A178" t="s">
        <v>169</v>
      </c>
      <c r="B178" s="1">
        <f>IF(D178&gt;0,D178,0)</f>
      </c>
      <c r="C178" s="1">
        <f>IF(D178&lt;0,-D178,0)</f>
      </c>
      <c r="D178" s="1">
        <f>IFERROR(VLOOKUP(A178,$A$242:$B$359,2,FALSE),0)</f>
      </c>
    </row>
    <row r="179" spans="1:4" x14ac:dyDescent="0.25">
      <c r="A179" t="s">
        <v>170</v>
      </c>
      <c r="B179" s="1">
        <f>IF(D179&gt;0,D179,0)</f>
        <v>52270571.07</v>
      </c>
      <c r="C179" s="1">
        <f>IF(D179&lt;0,-D179,0)</f>
      </c>
      <c r="D179" s="1">
        <f>IFERROR(VLOOKUP(A179,$A$242:$B$359,2,FALSE),0)</f>
        <v>52270571.07</v>
      </c>
    </row>
    <row r="180" spans="1:4" x14ac:dyDescent="0.25">
      <c r="A180" t="s">
        <v>171</v>
      </c>
      <c r="B180" s="1">
        <f>IF(D180&gt;0,D180,0)</f>
      </c>
      <c r="C180" s="1">
        <f>IF(D180&lt;0,-D180,0)</f>
      </c>
      <c r="D180" s="1">
        <f>IFERROR(VLOOKUP(A180,$A$242:$B$359,2,FALSE),0)</f>
      </c>
    </row>
    <row r="181" spans="1:4" x14ac:dyDescent="0.25">
      <c r="A181" t="s">
        <v>172</v>
      </c>
      <c r="B181" s="1">
        <f>IF(D181&gt;0,D181,0)</f>
      </c>
      <c r="C181" s="1">
        <f>IF(D181&lt;0,-D181,0)</f>
      </c>
      <c r="D181" s="1">
        <f>IFERROR(VLOOKUP(A181,$A$242:$B$359,2,FALSE),0)</f>
      </c>
    </row>
    <row r="182" spans="1:4" x14ac:dyDescent="0.25">
      <c r="A182" t="s">
        <v>173</v>
      </c>
      <c r="B182" s="1">
        <f>IF(D182&gt;0,D182,0)</f>
        <v>506825.21</v>
      </c>
      <c r="C182" s="1">
        <f>IF(D182&lt;0,-D182,0)</f>
      </c>
      <c r="D182" s="1">
        <f>IFERROR(VLOOKUP(A182,$A$242:$B$359,2,FALSE),0)</f>
        <v>506825.21</v>
      </c>
    </row>
    <row r="183" spans="1:4" x14ac:dyDescent="0.25">
      <c r="A183" t="s">
        <v>174</v>
      </c>
      <c r="B183" s="1">
        <f>IF(D183&gt;0,D183,0)</f>
      </c>
      <c r="C183" s="1">
        <f>IF(D183&lt;0,-D183,0)</f>
      </c>
      <c r="D183" s="1">
        <f>IFERROR(VLOOKUP(A183,$A$242:$B$359,2,FALSE),0)</f>
      </c>
    </row>
    <row r="184" spans="1:4" x14ac:dyDescent="0.25">
      <c r="A184" t="s">
        <v>175</v>
      </c>
      <c r="B184" s="1">
        <f>IF(D184&gt;0,D184,0)</f>
      </c>
      <c r="C184" s="1">
        <f>IF(D184&lt;0,-D184,0)</f>
      </c>
      <c r="D184" s="1">
        <f>IFERROR(VLOOKUP(A184,$A$242:$B$359,2,FALSE),0)</f>
      </c>
    </row>
    <row r="185" spans="1:4" x14ac:dyDescent="0.25">
      <c r="A185" t="s">
        <v>176</v>
      </c>
      <c r="B185" s="1">
        <f>IF(D185&gt;0,D185,0)</f>
      </c>
      <c r="C185" s="1">
        <f>IF(D185&lt;0,-D185,0)</f>
        <v>26554548.25</v>
      </c>
      <c r="D185" s="1">
        <f>IFERROR(VLOOKUP(A185,$A$242:$B$359,2,FALSE),0)</f>
        <v>-26554548.25</v>
      </c>
    </row>
    <row r="186" spans="1:4" x14ac:dyDescent="0.25">
      <c r="A186" t="s">
        <v>177</v>
      </c>
      <c r="B186" s="1">
        <f>IF(D186&gt;0,D186,0)</f>
      </c>
      <c r="C186" s="1">
        <f>IF(D186&lt;0,-D186,0)</f>
      </c>
      <c r="D186" s="1">
        <f>IFERROR(VLOOKUP(A186,$A$242:$B$359,2,FALSE),0)</f>
      </c>
    </row>
    <row r="187" spans="1:4" x14ac:dyDescent="0.25">
      <c r="A187" t="s">
        <v>178</v>
      </c>
      <c r="B187" s="1">
        <f>IF(D187&gt;0,D187,0)</f>
      </c>
      <c r="C187" s="1">
        <f>IF(D187&lt;0,-D187,0)</f>
      </c>
      <c r="D187" s="1">
        <f>IFERROR(VLOOKUP(A187,$A$242:$B$359,2,FALSE),0)</f>
      </c>
    </row>
    <row r="188" spans="1:4" x14ac:dyDescent="0.25">
      <c r="A188" t="s">
        <v>179</v>
      </c>
      <c r="B188" s="1">
        <f>IF(D188&gt;0,D188,0)</f>
        <v>297043.66000000003</v>
      </c>
      <c r="C188" s="1">
        <f>IF(D188&lt;0,-D188,0)</f>
      </c>
      <c r="D188" s="1">
        <f>IFERROR(VLOOKUP(A188,$A$242:$B$359,2,FALSE),0)</f>
        <v>297043.66000000003</v>
      </c>
    </row>
    <row r="189" spans="1:4" x14ac:dyDescent="0.25">
      <c r="A189" t="s">
        <v>180</v>
      </c>
      <c r="B189" s="1">
        <f>IF(D189&gt;0,D189,0)</f>
      </c>
      <c r="C189" s="1">
        <f>IF(D189&lt;0,-D189,0)</f>
      </c>
      <c r="D189" s="1">
        <f>IFERROR(VLOOKUP(A189,$A$242:$B$359,2,FALSE),0)</f>
      </c>
    </row>
    <row r="190" spans="1:4" x14ac:dyDescent="0.25">
      <c r="A190" t="s">
        <v>181</v>
      </c>
      <c r="B190" s="1">
        <f>IF(D190&gt;0,D190,0)</f>
      </c>
      <c r="C190" s="1">
        <f>IF(D190&lt;0,-D190,0)</f>
      </c>
      <c r="D190" s="1">
        <f>IFERROR(VLOOKUP(A190,$A$242:$B$359,2,FALSE),0)</f>
      </c>
    </row>
    <row r="191" spans="1:4" x14ac:dyDescent="0.25">
      <c r="A191" t="s">
        <v>182</v>
      </c>
      <c r="B191" s="1">
        <f>IF(D191&gt;0,D191,0)</f>
      </c>
      <c r="C191" s="1">
        <f>IF(D191&lt;0,-D191,0)</f>
      </c>
      <c r="D191" s="1">
        <f>IFERROR(VLOOKUP(A191,$A$242:$B$359,2,FALSE),0)</f>
      </c>
    </row>
    <row r="192" spans="1:4" x14ac:dyDescent="0.25">
      <c r="A192" t="s">
        <v>183</v>
      </c>
      <c r="B192" s="1">
        <f>IF(D192&gt;0,D192,0)</f>
      </c>
      <c r="C192" s="1">
        <f>IF(D192&lt;0,-D192,0)</f>
      </c>
      <c r="D192" s="1">
        <f>IFERROR(VLOOKUP(A192,$A$242:$B$359,2,FALSE),0)</f>
      </c>
    </row>
    <row r="193" spans="1:4" x14ac:dyDescent="0.25">
      <c r="A193" t="s">
        <v>184</v>
      </c>
      <c r="B193" s="1">
        <f>IF(D193&gt;0,D193,0)</f>
      </c>
      <c r="C193" s="1">
        <f>IF(D193&lt;0,-D193,0)</f>
      </c>
      <c r="D193" s="1">
        <f>IFERROR(VLOOKUP(A193,$A$242:$B$359,2,FALSE),0)</f>
      </c>
    </row>
    <row r="194" spans="1:4" x14ac:dyDescent="0.25">
      <c r="A194" t="s">
        <v>185</v>
      </c>
      <c r="B194" s="1">
        <f>IF(D194&gt;0,D194,0)</f>
        <v>873100</v>
      </c>
      <c r="C194" s="1">
        <f>IF(D194&lt;0,-D194,0)</f>
      </c>
      <c r="D194" s="1">
        <f>IFERROR(VLOOKUP(A194,$A$242:$B$359,2,FALSE),0)</f>
        <v>873100</v>
      </c>
    </row>
    <row r="195" spans="1:4" x14ac:dyDescent="0.25">
      <c r="A195" t="s">
        <v>186</v>
      </c>
      <c r="B195" s="1">
        <f>IF(D195&gt;0,D195,0)</f>
      </c>
      <c r="C195" s="1">
        <f>IF(D195&lt;0,-D195,0)</f>
      </c>
      <c r="D195" s="1">
        <f>IFERROR(VLOOKUP(A195,$A$242:$B$359,2,FALSE),0)</f>
      </c>
    </row>
    <row r="196" spans="1:4" x14ac:dyDescent="0.25">
      <c r="A196" t="s">
        <v>187</v>
      </c>
      <c r="B196" s="1">
        <f>IF(D196&gt;0,D196,0)</f>
      </c>
      <c r="C196" s="1">
        <f>IF(D196&lt;0,-D196,0)</f>
        <v>1475516.71</v>
      </c>
      <c r="D196" s="1">
        <f>IFERROR(VLOOKUP(A196,$A$242:$B$359,2,FALSE),0)</f>
        <v>-1475516.71</v>
      </c>
    </row>
    <row r="197" spans="1:4" x14ac:dyDescent="0.25">
      <c r="A197" t="s">
        <v>188</v>
      </c>
      <c r="B197" s="1">
        <f>IF(D197&gt;0,D197,0)</f>
      </c>
      <c r="C197" s="1">
        <f>IF(D197&lt;0,-D197,0)</f>
      </c>
      <c r="D197" s="1">
        <f>IFERROR(VLOOKUP(A197,$A$242:$B$359,2,FALSE),0)</f>
      </c>
    </row>
    <row r="198" spans="1:4" x14ac:dyDescent="0.25">
      <c r="A198" t="s">
        <v>189</v>
      </c>
      <c r="B198" s="1">
        <f>IF(D198&gt;0,D198,0)</f>
      </c>
      <c r="C198" s="1">
        <f>IF(D198&lt;0,-D198,0)</f>
      </c>
      <c r="D198" s="1">
        <f>IFERROR(VLOOKUP(A198,$A$242:$B$359,2,FALSE),0)</f>
      </c>
    </row>
    <row r="199" spans="1:4" x14ac:dyDescent="0.25">
      <c r="A199" t="s">
        <v>190</v>
      </c>
      <c r="B199" s="1">
        <f>IF(D199&gt;0,D199,0)</f>
      </c>
      <c r="C199" s="1">
        <f>IF(D199&lt;0,-D199,0)</f>
      </c>
      <c r="D199" s="1">
        <f>IFERROR(VLOOKUP(A199,$A$242:$B$359,2,FALSE),0)</f>
      </c>
    </row>
    <row r="200" spans="1:4" x14ac:dyDescent="0.25">
      <c r="A200" t="s">
        <v>191</v>
      </c>
      <c r="B200" s="1">
        <f>IF(D200&gt;0,D200,0)</f>
      </c>
      <c r="C200" s="1">
        <f>IF(D200&lt;0,-D200,0)</f>
      </c>
      <c r="D200" s="1">
        <f>IFERROR(VLOOKUP(A200,$A$242:$B$359,2,FALSE),0)</f>
      </c>
    </row>
    <row r="201" spans="1:4" x14ac:dyDescent="0.25">
      <c r="A201" t="s">
        <v>192</v>
      </c>
      <c r="B201" s="1">
        <f>IF(D201&gt;0,D201,0)</f>
        <v>600000</v>
      </c>
      <c r="C201" s="1">
        <f>IF(D201&lt;0,-D201,0)</f>
      </c>
      <c r="D201" s="1">
        <f>IFERROR(VLOOKUP(A201,$A$242:$B$359,2,FALSE),0)</f>
        <v>600000</v>
      </c>
    </row>
    <row r="202" spans="1:4" x14ac:dyDescent="0.25">
      <c r="A202" t="s">
        <v>193</v>
      </c>
      <c r="B202" s="1">
        <f>IF(D202&gt;0,D202,0)</f>
      </c>
      <c r="C202" s="1">
        <f>IF(D202&lt;0,-D202,0)</f>
      </c>
      <c r="D202" s="1">
        <f>IFERROR(VLOOKUP(A202,$A$242:$B$359,2,FALSE),0)</f>
      </c>
    </row>
    <row r="203" spans="1:4" x14ac:dyDescent="0.25">
      <c r="A203" t="s">
        <v>194</v>
      </c>
      <c r="B203" s="1">
        <f>IF(D203&gt;0,D203,0)</f>
      </c>
      <c r="C203" s="1">
        <f>IF(D203&lt;0,-D203,0)</f>
      </c>
      <c r="D203" s="1">
        <f>IFERROR(VLOOKUP(A203,$A$242:$B$359,2,FALSE),0)</f>
      </c>
    </row>
    <row r="204" spans="1:4" x14ac:dyDescent="0.25">
      <c r="A204" t="s">
        <v>195</v>
      </c>
      <c r="B204" s="1">
        <f>IF(D204&gt;0,D204,0)</f>
      </c>
      <c r="C204" s="1">
        <f>IF(D204&lt;0,-D204,0)</f>
      </c>
      <c r="D204" s="1">
        <f>IFERROR(VLOOKUP(A204,$A$242:$B$359,2,FALSE),0)</f>
      </c>
    </row>
    <row r="205" spans="1:4" x14ac:dyDescent="0.25">
      <c r="A205" t="s">
        <v>196</v>
      </c>
      <c r="B205" s="1">
        <f>IF(D205&gt;0,D205,0)</f>
      </c>
      <c r="C205" s="1">
        <f>IF(D205&lt;0,-D205,0)</f>
      </c>
      <c r="D205" s="1">
        <f>IFERROR(VLOOKUP(A205,$A$242:$B$359,2,FALSE),0)</f>
      </c>
    </row>
    <row r="206" spans="1:4" x14ac:dyDescent="0.25">
      <c r="A206" t="s">
        <v>197</v>
      </c>
      <c r="B206" s="1">
        <f>IF(D206&gt;0,D206,0)</f>
      </c>
      <c r="C206" s="1">
        <f>IF(D206&lt;0,-D206,0)</f>
      </c>
      <c r="D206" s="1">
        <f>IFERROR(VLOOKUP(A206,$A$242:$B$359,2,FALSE),0)</f>
      </c>
    </row>
    <row r="207" spans="1:4" x14ac:dyDescent="0.25">
      <c r="A207" t="s">
        <v>198</v>
      </c>
      <c r="B207" s="1">
        <f>IF(D207&gt;0,D207,0)</f>
      </c>
      <c r="C207" s="1">
        <f>IF(D207&lt;0,-D207,0)</f>
      </c>
      <c r="D207" s="1">
        <f>IFERROR(VLOOKUP(A207,$A$242:$B$359,2,FALSE),0)</f>
      </c>
    </row>
    <row r="208" spans="1:4" x14ac:dyDescent="0.25">
      <c r="A208" t="s">
        <v>199</v>
      </c>
      <c r="B208" s="1">
        <f>IF(D208&gt;0,D208,0)</f>
      </c>
      <c r="C208" s="1">
        <f>IF(D208&lt;0,-D208,0)</f>
      </c>
      <c r="D208" s="1">
        <f>IFERROR(VLOOKUP(A208,$A$242:$B$359,2,FALSE),0)</f>
      </c>
    </row>
    <row r="209" spans="1:4" x14ac:dyDescent="0.25">
      <c r="A209" t="s">
        <v>200</v>
      </c>
      <c r="B209" s="1">
        <f>IF(D209&gt;0,D209,0)</f>
      </c>
      <c r="C209" s="1">
        <f>IF(D209&lt;0,-D209,0)</f>
      </c>
      <c r="D209" s="1">
        <f>IFERROR(VLOOKUP(A209,$A$242:$B$359,2,FALSE),0)</f>
      </c>
    </row>
    <row r="210" spans="1:4" x14ac:dyDescent="0.25">
      <c r="A210" t="s">
        <v>201</v>
      </c>
      <c r="B210" s="1">
        <f>IF(D210&gt;0,D210,0)</f>
      </c>
      <c r="C210" s="1">
        <f>IF(D210&lt;0,-D210,0)</f>
      </c>
      <c r="D210" s="1">
        <f>IFERROR(VLOOKUP(A210,$A$242:$B$359,2,FALSE),0)</f>
      </c>
    </row>
    <row r="211" spans="1:4" x14ac:dyDescent="0.25">
      <c r="A211" t="s">
        <v>202</v>
      </c>
      <c r="B211" s="1">
        <f>IF(D211&gt;0,D211,0)</f>
        <v>9748761.68</v>
      </c>
      <c r="C211" s="1">
        <f>IF(D211&lt;0,-D211,0)</f>
      </c>
      <c r="D211" s="1">
        <f>IFERROR(VLOOKUP(A211,$A$242:$B$359,2,FALSE),0)</f>
        <v>9748761.68</v>
      </c>
    </row>
    <row r="212" spans="1:4" x14ac:dyDescent="0.25">
      <c r="A212" t="s">
        <v>203</v>
      </c>
      <c r="B212" s="1">
        <f>IF(D212&gt;0,D212,0)</f>
      </c>
      <c r="C212" s="1">
        <f>IF(D212&lt;0,-D212,0)</f>
      </c>
      <c r="D212" s="1">
        <f>IFERROR(VLOOKUP(A212,$A$242:$B$359,2,FALSE),0)</f>
      </c>
    </row>
    <row r="213" spans="1:4" x14ac:dyDescent="0.25">
      <c r="A213" t="s">
        <v>204</v>
      </c>
      <c r="B213" s="1">
        <f>IF(D213&gt;0,D213,0)</f>
      </c>
      <c r="C213" s="1">
        <f>IF(D213&lt;0,-D213,0)</f>
      </c>
      <c r="D213" s="1">
        <f>IFERROR(VLOOKUP(A213,$A$242:$B$359,2,FALSE),0)</f>
      </c>
    </row>
    <row r="214" spans="1:4" x14ac:dyDescent="0.25">
      <c r="A214" t="s">
        <v>205</v>
      </c>
      <c r="B214" s="1">
        <f>IF(D214&gt;0,D214,0)</f>
      </c>
      <c r="C214" s="1">
        <f>IF(D214&lt;0,-D214,0)</f>
      </c>
      <c r="D214" s="1">
        <f>IFERROR(VLOOKUP(A214,$A$242:$B$359,2,FALSE),0)</f>
      </c>
    </row>
    <row r="215" spans="1:4" x14ac:dyDescent="0.25">
      <c r="A215" t="s">
        <v>206</v>
      </c>
      <c r="B215" s="1">
        <f>IF(D215&gt;0,D215,0)</f>
        <v>80711</v>
      </c>
      <c r="C215" s="1">
        <f>IF(D215&lt;0,-D215,0)</f>
      </c>
      <c r="D215" s="1">
        <f>IFERROR(VLOOKUP(A215,$A$242:$B$359,2,FALSE),0)</f>
        <v>80711</v>
      </c>
    </row>
    <row r="216" spans="1:4" x14ac:dyDescent="0.25">
      <c r="A216" t="s">
        <v>207</v>
      </c>
      <c r="B216" s="1">
        <f>IF(D216&gt;0,D216,0)</f>
      </c>
      <c r="C216" s="1">
        <f>IF(D216&lt;0,-D216,0)</f>
      </c>
      <c r="D216" s="1">
        <f>IFERROR(VLOOKUP(A216,$A$242:$B$359,2,FALSE),0)</f>
      </c>
    </row>
    <row r="217" spans="1:4" x14ac:dyDescent="0.25">
      <c r="A217" t="s">
        <v>208</v>
      </c>
      <c r="B217" s="1">
        <f>IF(D217&gt;0,D217,0)</f>
      </c>
      <c r="C217" s="1">
        <f>IF(D217&lt;0,-D217,0)</f>
      </c>
      <c r="D217" s="1">
        <f>IFERROR(VLOOKUP(A217,$A$242:$B$359,2,FALSE),0)</f>
      </c>
    </row>
    <row r="218" spans="1:4" x14ac:dyDescent="0.25">
      <c r="A218" t="s">
        <v>209</v>
      </c>
      <c r="B218" s="1">
        <f>IF(D218&gt;0,D218,0)</f>
      </c>
      <c r="C218" s="1">
        <f>IF(D218&lt;0,-D218,0)</f>
      </c>
      <c r="D218" s="1">
        <f>IFERROR(VLOOKUP(A218,$A$242:$B$359,2,FALSE),0)</f>
      </c>
    </row>
    <row r="219" spans="1:4" x14ac:dyDescent="0.25">
      <c r="A219" t="s">
        <v>210</v>
      </c>
      <c r="B219" s="1">
        <f>IF(D219&gt;0,D219,0)</f>
      </c>
      <c r="C219" s="1">
        <f>IF(D219&lt;0,-D219,0)</f>
      </c>
      <c r="D219" s="1">
        <f>IFERROR(VLOOKUP(A219,$A$242:$B$359,2,FALSE),0)</f>
      </c>
    </row>
    <row r="220" spans="1:4" x14ac:dyDescent="0.25">
      <c r="A220" t="s">
        <v>211</v>
      </c>
      <c r="B220" s="1">
        <f>IF(D220&gt;0,D220,0)</f>
      </c>
      <c r="C220" s="1">
        <f>IF(D220&lt;0,-D220,0)</f>
      </c>
      <c r="D220" s="1">
        <f>IFERROR(VLOOKUP(A220,$A$242:$B$359,2,FALSE),0)</f>
      </c>
    </row>
    <row r="221" spans="1:4" x14ac:dyDescent="0.25">
      <c r="A221" t="s">
        <v>212</v>
      </c>
      <c r="B221" s="1">
        <f>IF(D221&gt;0,D221,0)</f>
      </c>
      <c r="C221" s="1">
        <f>IF(D221&lt;0,-D221,0)</f>
      </c>
      <c r="D221" s="1">
        <f>IFERROR(VLOOKUP(A221,$A$242:$B$359,2,FALSE),0)</f>
      </c>
    </row>
    <row r="222" spans="1:4" x14ac:dyDescent="0.25">
      <c r="A222" t="s">
        <v>213</v>
      </c>
      <c r="B222" s="1">
        <f>IF(D222&gt;0,D222,0)</f>
        <v>1716928.19</v>
      </c>
      <c r="C222" s="1">
        <f>IF(D222&lt;0,-D222,0)</f>
      </c>
      <c r="D222" s="1">
        <f>IFERROR(VLOOKUP(A222,$A$242:$B$359,2,FALSE),0)</f>
        <v>1716928.19</v>
      </c>
    </row>
    <row r="223" spans="1:4" x14ac:dyDescent="0.25">
      <c r="A223" t="s">
        <v>214</v>
      </c>
      <c r="B223" s="1">
        <f>IF(D223&gt;0,D223,0)</f>
      </c>
      <c r="C223" s="1">
        <f>IF(D223&lt;0,-D223,0)</f>
      </c>
      <c r="D223" s="1">
        <f>IFERROR(VLOOKUP(A223,$A$242:$B$359,2,FALSE),0)</f>
      </c>
    </row>
    <row r="224" spans="1:4" x14ac:dyDescent="0.25">
      <c r="A224" t="s">
        <v>215</v>
      </c>
      <c r="B224" s="1">
        <f>IF(D224&gt;0,D224,0)</f>
      </c>
      <c r="C224" s="1">
        <f>IF(D224&lt;0,-D224,0)</f>
      </c>
      <c r="D224" s="1">
        <f>IFERROR(VLOOKUP(A224,$A$242:$B$359,2,FALSE),0)</f>
      </c>
    </row>
    <row r="225" ht="12.6" customHeight="1" spans="1:4" x14ac:dyDescent="0.25">
      <c r="A225" t="s">
        <v>216</v>
      </c>
      <c r="B225" s="1">
        <f>IF(D225&gt;0,D225,0)</f>
        <v>17725.23</v>
      </c>
      <c r="C225" s="1">
        <f>IF(D225&lt;0,-D225,0)</f>
      </c>
      <c r="D225" s="1">
        <f>IFERROR(VLOOKUP(A225,$A$242:$B$359,2,FALSE),0)</f>
        <v>17725.23</v>
      </c>
    </row>
    <row r="226" spans="1:4" x14ac:dyDescent="0.25">
      <c r="A226" t="s">
        <v>217</v>
      </c>
      <c r="B226" s="1">
        <f>IF(D226&gt;0,D226,0)</f>
      </c>
      <c r="C226" s="1">
        <f>IF(D226&lt;0,-D226,0)</f>
      </c>
      <c r="D226" s="1">
        <f>IFERROR(VLOOKUP(A226,$A$242:$B$359,2,FALSE),0)</f>
      </c>
    </row>
    <row r="227" spans="1:4" x14ac:dyDescent="0.25">
      <c r="A227" t="s">
        <v>218</v>
      </c>
      <c r="B227" s="1">
        <f>IF(D227&gt;0,D227,0)</f>
      </c>
      <c r="C227" s="1">
        <f>IF(D227&lt;0,-D227,0)</f>
      </c>
      <c r="D227" s="1">
        <f>IFERROR(VLOOKUP(A227,$A$242:$B$359,2,FALSE),0)</f>
      </c>
    </row>
    <row r="228" spans="1:4" x14ac:dyDescent="0.25">
      <c r="A228" t="s">
        <v>219</v>
      </c>
      <c r="B228" s="1">
        <f>IF(D228&gt;0,D228,0)</f>
      </c>
      <c r="C228" s="1">
        <f>IF(D228&lt;0,-D228,0)</f>
      </c>
      <c r="D228" s="1">
        <f>IFERROR(VLOOKUP(A228,$A$242:$B$359,2,FALSE),0)</f>
      </c>
    </row>
    <row r="229" spans="1:4" x14ac:dyDescent="0.25">
      <c r="A229" t="s">
        <v>220</v>
      </c>
      <c r="B229" s="1">
        <f>IF(D229&gt;0,D229,0)</f>
      </c>
      <c r="C229" s="1">
        <f>IF(D229&lt;0,-D229,0)</f>
      </c>
      <c r="D229" s="1">
        <f>IFERROR(VLOOKUP(A229,$A$242:$B$359,2,FALSE),0)</f>
      </c>
    </row>
    <row r="230" spans="1:4" x14ac:dyDescent="0.25">
      <c r="A230" t="s">
        <v>221</v>
      </c>
      <c r="B230" s="1">
        <f>IF(D230&gt;0,D230,0)</f>
      </c>
      <c r="C230" s="1">
        <f>IF(D230&lt;0,-D230,0)</f>
      </c>
      <c r="D230" s="1">
        <f>IFERROR(VLOOKUP(A230,$A$242:$B$359,2,FALSE),0)</f>
      </c>
    </row>
    <row r="231" spans="1:4" x14ac:dyDescent="0.25">
      <c r="A231" t="s">
        <v>222</v>
      </c>
      <c r="B231" s="1">
        <f>IF(D231&gt;0,D231,0)</f>
      </c>
      <c r="C231" s="1">
        <f>IF(D231&lt;0,-D231,0)</f>
      </c>
      <c r="D231" s="1">
        <f>IFERROR(VLOOKUP(A231,$A$242:$B$359,2,FALSE),0)</f>
      </c>
    </row>
    <row r="232" spans="1:4" x14ac:dyDescent="0.25">
      <c r="A232" t="s">
        <v>223</v>
      </c>
      <c r="B232" s="1">
        <f>IF(D232&gt;0,D232,0)</f>
      </c>
      <c r="C232" s="1">
        <f>IF(D232&lt;0,-D232,0)</f>
      </c>
      <c r="D232" s="1">
        <f>IFERROR(VLOOKUP(A232,$A$242:$B$359,2,FALSE),0)</f>
      </c>
    </row>
    <row r="233" spans="1:4" x14ac:dyDescent="0.25">
      <c r="A233" t="s">
        <v>224</v>
      </c>
      <c r="B233" s="1">
        <f>IF(D233&gt;0,D233,0)</f>
      </c>
      <c r="C233" s="1">
        <f>IF(D233&lt;0,-D233,0)</f>
      </c>
      <c r="D233" s="1">
        <f>IFERROR(VLOOKUP(A233,$A$242:$B$359,2,FALSE),0)</f>
      </c>
    </row>
    <row r="234" spans="1:4" x14ac:dyDescent="0.25">
      <c r="A234" t="s">
        <v>225</v>
      </c>
      <c r="B234" s="1">
        <f>IF(D234&gt;0,D234,0)</f>
      </c>
      <c r="C234" s="1">
        <f>IF(D234&lt;0,-D234,0)</f>
      </c>
      <c r="D234" s="1">
        <f>IFERROR(VLOOKUP(A234,$A$242:$B$359,2,FALSE),0)</f>
      </c>
    </row>
    <row r="235" spans="2:6" x14ac:dyDescent="0.25">
      <c r="B235" s="1">
        <f>SUM(B7:B234)</f>
        <v>210444763.71999997</v>
      </c>
      <c r="C235" s="1">
        <f>SUM(C7:C234)</f>
        <v>210444763.71999994</v>
      </c>
      <c r="D235" s="1">
        <f>SUM(D129:D234)</f>
        <v>101620010.89</v>
      </c>
      <c r="E235" s="1">
        <f>+D235+D126+D117+D50</f>
      </c>
      <c r="F235" s="2">
        <f>+E235+D117+D50</f>
        <v>-101620010.88999996</v>
      </c>
    </row>
    <row r="236" spans="2:2" x14ac:dyDescent="0.25">
      <c r="B236" s="1">
        <f>+B235-C235</f>
      </c>
    </row>
    <row r="237" spans="4:4" x14ac:dyDescent="0.25">
      <c r="D237" s="1">
        <f>+D235+EERR!C28</f>
      </c>
    </row>
    <row r="240" spans="2:2" x14ac:dyDescent="0.25">
      <c r="B240" s="1">
        <f>SUM(B241:B359)</f>
        <v>8.137430995702744e-8</v>
      </c>
    </row>
    <row r="242" spans="1:4" x14ac:dyDescent="0.25">
      <c r="A242" t="s">
        <v>5</v>
      </c>
      <c r="B242" s="3">
        <v>-265310.63</v>
      </c>
      <c r="D242" s="1">
        <v>-265310.63</v>
      </c>
    </row>
    <row r="243" spans="1:4" x14ac:dyDescent="0.25">
      <c r="A243" t="s">
        <v>7</v>
      </c>
      <c r="B243" s="3">
        <v>-25116049.8</v>
      </c>
      <c r="D243" s="1">
        <v>-25116049.8</v>
      </c>
    </row>
    <row r="244" spans="1:4" x14ac:dyDescent="0.25">
      <c r="A244" t="s">
        <v>9</v>
      </c>
      <c r="B244" s="3">
        <v>-640196.6900000001</v>
      </c>
      <c r="D244" s="1">
        <v>-640196.6900000001</v>
      </c>
    </row>
    <row r="245" spans="1:4" x14ac:dyDescent="0.25">
      <c r="A245" t="s">
        <v>10</v>
      </c>
      <c r="B245" s="3">
        <v>-99288526.08</v>
      </c>
      <c r="D245" s="1">
        <v>-99288526.08</v>
      </c>
    </row>
    <row r="246" spans="1:4" x14ac:dyDescent="0.25">
      <c r="A246" t="s">
        <v>12</v>
      </c>
      <c r="B246" s="3">
        <v>304705.08</v>
      </c>
      <c r="D246" s="1">
        <v>304705.08</v>
      </c>
    </row>
    <row r="247" spans="1:4" x14ac:dyDescent="0.25">
      <c r="A247" t="s">
        <v>15</v>
      </c>
      <c r="B247" s="3">
        <v>-108886.7</v>
      </c>
      <c r="D247" s="1">
        <v>-108886.7</v>
      </c>
    </row>
    <row r="248" spans="1:4" x14ac:dyDescent="0.25">
      <c r="A248" t="s">
        <v>16</v>
      </c>
      <c r="B248" s="3">
        <v>-192240.64</v>
      </c>
      <c r="D248" s="1">
        <v>-192240.64</v>
      </c>
    </row>
    <row r="249" spans="1:4" x14ac:dyDescent="0.25">
      <c r="A249" t="s">
        <v>17</v>
      </c>
      <c r="B249" s="3">
        <v>4122436.2800000003</v>
      </c>
      <c r="D249" s="1">
        <v>4122436.2800000003</v>
      </c>
    </row>
    <row r="250" spans="1:4" x14ac:dyDescent="0.25">
      <c r="A250" t="s">
        <v>18</v>
      </c>
      <c r="B250" s="3">
        <v>1600000</v>
      </c>
      <c r="D250" s="1">
        <v>1600000</v>
      </c>
    </row>
    <row r="251" spans="1:4" x14ac:dyDescent="0.25">
      <c r="A251" t="s">
        <v>20</v>
      </c>
      <c r="B251" s="3">
        <v>-50000</v>
      </c>
      <c r="D251" s="1">
        <v>-50000</v>
      </c>
    </row>
    <row r="252" spans="1:4" x14ac:dyDescent="0.25">
      <c r="A252" t="s">
        <v>21</v>
      </c>
      <c r="B252" s="3">
        <v>-200000</v>
      </c>
      <c r="D252" s="1">
        <v>-200000</v>
      </c>
    </row>
    <row r="253" spans="1:4" x14ac:dyDescent="0.25">
      <c r="A253" t="s">
        <v>25</v>
      </c>
      <c r="B253" s="3">
        <v>-8283474.350000001</v>
      </c>
      <c r="D253" s="1">
        <v>-8283474.350000001</v>
      </c>
    </row>
    <row r="254" spans="1:4" x14ac:dyDescent="0.25">
      <c r="A254" t="s">
        <v>26</v>
      </c>
      <c r="B254" s="3">
        <v>-961.13</v>
      </c>
      <c r="D254" s="1">
        <v>-961.13</v>
      </c>
    </row>
    <row r="255" spans="1:4" x14ac:dyDescent="0.25">
      <c r="A255" t="s">
        <v>28</v>
      </c>
      <c r="B255" s="3">
        <v>-20812690.56</v>
      </c>
      <c r="D255" s="1">
        <v>-20812690.56</v>
      </c>
    </row>
    <row r="256" spans="1:4" x14ac:dyDescent="0.25">
      <c r="A256" t="s">
        <v>40</v>
      </c>
      <c r="B256" s="3">
        <v>-3703.64</v>
      </c>
      <c r="D256" s="1">
        <v>-3703.64</v>
      </c>
    </row>
    <row r="257" spans="1:4" x14ac:dyDescent="0.25">
      <c r="A257" t="s">
        <v>41</v>
      </c>
      <c r="B257" s="3">
        <v>-86004.7</v>
      </c>
      <c r="D257" s="1">
        <v>-86004.7</v>
      </c>
    </row>
    <row r="258" spans="1:4" x14ac:dyDescent="0.25">
      <c r="A258" t="s">
        <v>46</v>
      </c>
      <c r="B258" s="3">
        <v>-2395589.98</v>
      </c>
      <c r="D258" s="1">
        <v>-2395589.98</v>
      </c>
    </row>
    <row r="259" spans="1:4" x14ac:dyDescent="0.25">
      <c r="A259" t="s">
        <v>55</v>
      </c>
      <c r="B259" s="3">
        <v>59338.840000000004</v>
      </c>
      <c r="D259" s="1">
        <v>59338.840000000004</v>
      </c>
    </row>
    <row r="260" spans="1:4" x14ac:dyDescent="0.25">
      <c r="A260" t="s">
        <v>56</v>
      </c>
      <c r="B260" s="3">
        <v>162531</v>
      </c>
      <c r="D260" s="1">
        <v>162531</v>
      </c>
    </row>
    <row r="261" spans="1:4" x14ac:dyDescent="0.25">
      <c r="A261" t="s">
        <v>61</v>
      </c>
      <c r="B261" s="3">
        <v>22567153.080000002</v>
      </c>
      <c r="D261" s="1">
        <v>22567153.080000002</v>
      </c>
    </row>
    <row r="262" spans="1:4" x14ac:dyDescent="0.25">
      <c r="A262" t="s">
        <v>65</v>
      </c>
      <c r="B262" s="3">
        <v>-7949700</v>
      </c>
      <c r="D262" s="1">
        <v>-7949700</v>
      </c>
    </row>
    <row r="263" spans="1:4" x14ac:dyDescent="0.25">
      <c r="A263" t="s">
        <v>74</v>
      </c>
      <c r="B263" s="3">
        <v>191759.55000000002</v>
      </c>
      <c r="D263" s="1">
        <v>191759.55000000002</v>
      </c>
    </row>
    <row r="264" spans="1:4" x14ac:dyDescent="0.25">
      <c r="A264" t="s">
        <v>76</v>
      </c>
      <c r="B264" s="3">
        <v>-0.14</v>
      </c>
      <c r="D264" s="1">
        <v>-0.14</v>
      </c>
    </row>
    <row r="265" spans="1:4" x14ac:dyDescent="0.25">
      <c r="A265" t="s">
        <v>79</v>
      </c>
      <c r="B265" s="3">
        <v>32024141</v>
      </c>
      <c r="D265" s="1">
        <v>32024141</v>
      </c>
    </row>
    <row r="266" spans="1:4" x14ac:dyDescent="0.25">
      <c r="A266" t="s">
        <v>80</v>
      </c>
      <c r="B266" s="3">
        <v>5922590.54</v>
      </c>
      <c r="D266" s="1">
        <v>5922590.54</v>
      </c>
    </row>
    <row r="267" spans="1:4" x14ac:dyDescent="0.25">
      <c r="A267" t="s">
        <v>81</v>
      </c>
      <c r="B267" s="3">
        <v>-256874.41</v>
      </c>
      <c r="D267" s="1">
        <v>-256874.41</v>
      </c>
    </row>
    <row r="268" spans="1:4" x14ac:dyDescent="0.25">
      <c r="A268" t="s">
        <v>82</v>
      </c>
      <c r="B268" s="3">
        <v>83974.39</v>
      </c>
      <c r="D268" s="1">
        <v>83974.39</v>
      </c>
    </row>
    <row r="269" spans="1:4" x14ac:dyDescent="0.25">
      <c r="A269" t="s">
        <v>83</v>
      </c>
      <c r="B269" s="3">
        <v>-16382.87</v>
      </c>
      <c r="D269" s="1">
        <v>-16382.87</v>
      </c>
    </row>
    <row r="270" spans="1:4" x14ac:dyDescent="0.25">
      <c r="A270" t="s">
        <v>92</v>
      </c>
      <c r="B270" s="3">
        <v>7949700</v>
      </c>
      <c r="D270" s="1">
        <v>-1090800</v>
      </c>
    </row>
    <row r="271" spans="1:4" x14ac:dyDescent="0.25">
      <c r="A271" t="s">
        <v>98</v>
      </c>
      <c r="B271" s="3">
        <v>-9748121.08</v>
      </c>
      <c r="D271" s="1">
        <v>7949700</v>
      </c>
    </row>
    <row r="272" spans="1:4" x14ac:dyDescent="0.25">
      <c r="A272" t="s">
        <v>85</v>
      </c>
      <c r="B272" s="3">
        <v>-1090800</v>
      </c>
      <c r="D272" s="1">
        <v>-9748121.08</v>
      </c>
    </row>
    <row r="273" spans="1:4" x14ac:dyDescent="0.25">
      <c r="A273" t="s">
        <v>110</v>
      </c>
      <c r="B273" s="3">
        <v>-151501.92</v>
      </c>
      <c r="D273" s="1">
        <v>48674.67</v>
      </c>
    </row>
    <row r="274" spans="1:4" x14ac:dyDescent="0.25">
      <c r="A274" t="s">
        <v>109</v>
      </c>
      <c r="B274" s="3">
        <v>48674.67</v>
      </c>
      <c r="D274" s="1">
        <v>-151501.92</v>
      </c>
    </row>
    <row r="275" spans="1:4" x14ac:dyDescent="0.25">
      <c r="A275" t="s">
        <v>130</v>
      </c>
      <c r="B275" s="3">
        <v>27550003.8</v>
      </c>
      <c r="D275" s="1">
        <v>-677309.4400000001</v>
      </c>
    </row>
    <row r="276" spans="1:4" x14ac:dyDescent="0.25">
      <c r="A276" t="s">
        <v>131</v>
      </c>
      <c r="B276" s="3">
        <v>4577701.12</v>
      </c>
      <c r="D276" s="1">
        <v>27550003.8</v>
      </c>
    </row>
    <row r="277" spans="1:4" x14ac:dyDescent="0.25">
      <c r="A277" t="s">
        <v>134</v>
      </c>
      <c r="B277" s="3">
        <v>8933342.28</v>
      </c>
      <c r="D277" s="1">
        <v>4577701.12</v>
      </c>
    </row>
    <row r="278" spans="1:4" x14ac:dyDescent="0.25">
      <c r="A278" t="s">
        <v>145</v>
      </c>
      <c r="B278" s="3">
        <v>7949700</v>
      </c>
      <c r="D278" s="1">
        <v>8933342.28</v>
      </c>
    </row>
    <row r="279" spans="1:4" x14ac:dyDescent="0.25">
      <c r="A279" t="s">
        <v>147</v>
      </c>
      <c r="B279" s="3">
        <v>508928</v>
      </c>
      <c r="D279" s="1">
        <v>508928</v>
      </c>
    </row>
    <row r="280" spans="1:4" x14ac:dyDescent="0.25">
      <c r="A280" t="s">
        <v>148</v>
      </c>
      <c r="B280" s="3">
        <v>-5080374</v>
      </c>
      <c r="D280" s="1">
        <v>-5080374</v>
      </c>
    </row>
    <row r="281" spans="1:4" x14ac:dyDescent="0.25">
      <c r="A281" t="s">
        <v>151</v>
      </c>
      <c r="B281" s="3">
        <v>72446.22</v>
      </c>
      <c r="D281" s="1">
        <v>72446.22</v>
      </c>
    </row>
    <row r="282" spans="1:4" x14ac:dyDescent="0.25">
      <c r="A282" t="s">
        <v>152</v>
      </c>
      <c r="B282" s="3">
        <v>2485298.32</v>
      </c>
      <c r="D282" s="1">
        <v>2485298.32</v>
      </c>
    </row>
    <row r="283" spans="1:4" x14ac:dyDescent="0.25">
      <c r="A283" t="s">
        <v>154</v>
      </c>
      <c r="B283" s="3">
        <v>467976.4</v>
      </c>
      <c r="D283" s="1">
        <v>467976.4</v>
      </c>
    </row>
    <row r="284" spans="1:4" x14ac:dyDescent="0.25">
      <c r="A284" t="s">
        <v>159</v>
      </c>
      <c r="B284" s="3">
        <v>5380203.41</v>
      </c>
      <c r="D284" s="1">
        <v>5380203.41</v>
      </c>
    </row>
    <row r="285" spans="1:4" x14ac:dyDescent="0.25">
      <c r="A285" t="s">
        <v>166</v>
      </c>
      <c r="B285" s="3">
        <v>10864965.76</v>
      </c>
      <c r="D285" s="1">
        <v>10864965.76</v>
      </c>
    </row>
    <row r="286" spans="1:4" x14ac:dyDescent="0.25">
      <c r="A286" t="s">
        <v>167</v>
      </c>
      <c r="B286" s="3">
        <v>505527.94</v>
      </c>
      <c r="D286" s="1">
        <v>505527.94</v>
      </c>
    </row>
    <row r="287" spans="1:4" x14ac:dyDescent="0.25">
      <c r="A287" t="s">
        <v>170</v>
      </c>
      <c r="B287" s="3">
        <v>52270571.07</v>
      </c>
      <c r="D287" s="1">
        <v>52270571.07</v>
      </c>
    </row>
    <row r="288" spans="1:4" x14ac:dyDescent="0.25">
      <c r="A288" t="s">
        <v>173</v>
      </c>
      <c r="B288" s="3">
        <v>506825.21</v>
      </c>
      <c r="D288" s="1">
        <v>506825.21</v>
      </c>
    </row>
    <row r="289" spans="1:4" x14ac:dyDescent="0.25">
      <c r="A289" t="s">
        <v>176</v>
      </c>
      <c r="B289" s="3">
        <v>-26554548.25</v>
      </c>
      <c r="D289" s="1">
        <v>-26554548.25</v>
      </c>
    </row>
    <row r="290" spans="1:4" x14ac:dyDescent="0.25">
      <c r="A290" t="s">
        <v>179</v>
      </c>
      <c r="B290" s="3">
        <v>297043.66000000003</v>
      </c>
      <c r="D290" s="1">
        <v>297043.66000000003</v>
      </c>
    </row>
    <row r="291" spans="1:4" x14ac:dyDescent="0.25">
      <c r="A291" t="s">
        <v>185</v>
      </c>
      <c r="B291" s="3">
        <v>873100</v>
      </c>
      <c r="D291" s="1">
        <v>873100</v>
      </c>
    </row>
    <row r="292" spans="1:4" x14ac:dyDescent="0.25">
      <c r="A292" t="s">
        <v>187</v>
      </c>
      <c r="B292" s="3">
        <v>-1475516.71</v>
      </c>
      <c r="D292" s="1">
        <v>873100</v>
      </c>
    </row>
    <row r="293" spans="1:4" x14ac:dyDescent="0.25">
      <c r="A293" t="s">
        <v>192</v>
      </c>
      <c r="B293" s="3">
        <v>600000</v>
      </c>
      <c r="D293" s="1">
        <v>-1475516.71</v>
      </c>
    </row>
    <row r="294" spans="1:4" x14ac:dyDescent="0.25">
      <c r="A294" t="s">
        <v>202</v>
      </c>
      <c r="B294" s="3">
        <v>9748761.68</v>
      </c>
      <c r="D294" s="1">
        <v>600000</v>
      </c>
    </row>
    <row r="295" spans="1:4" x14ac:dyDescent="0.25">
      <c r="A295" t="s">
        <v>206</v>
      </c>
      <c r="B295" s="3">
        <v>80711</v>
      </c>
      <c r="D295" s="1">
        <v>9748761.68</v>
      </c>
    </row>
    <row r="296" spans="1:4" x14ac:dyDescent="0.25">
      <c r="A296" t="s">
        <v>213</v>
      </c>
      <c r="B296" s="3">
        <v>1716928.19</v>
      </c>
      <c r="D296" s="1">
        <v>80711</v>
      </c>
    </row>
    <row r="297" spans="1:4" x14ac:dyDescent="0.25">
      <c r="A297" t="s">
        <v>216</v>
      </c>
      <c r="B297" s="3">
        <v>17725.23</v>
      </c>
      <c r="D297" s="1">
        <v>1716928.19</v>
      </c>
    </row>
    <row r="298" spans="1:4" x14ac:dyDescent="0.25">
      <c r="A298" t="s">
        <v>122</v>
      </c>
      <c r="B298" s="3">
        <v>-677309.4400000001</v>
      </c>
      <c r="D298" s="1">
        <v>17725.23</v>
      </c>
    </row>
  </sheetData>
  <autoFilter ref="A1:D411"/>
  <pageMargins left="0.75" right="0.75" top="1" bottom="1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"/>
  <sheetViews>
    <sheetView workbookViewId="0" zoomScale="100" zoomScaleNormal="100">
      <selection activeCell="D17" sqref="D17"/>
    </sheetView>
  </sheetViews>
  <sheetFormatPr defaultRowHeight="0" outlineLevelRow="0" outlineLevelCol="0" x14ac:dyDescent="0" customHeight="1"/>
  <cols>
    <col min="1" max="1" width="2.33203125" customWidth="1"/>
    <col min="2" max="3" width="2.109375" customWidth="1"/>
    <col min="4" max="4" width="26.5546875" customWidth="1"/>
    <col min="5" max="5" width="7" customWidth="1"/>
    <col min="6" max="6" width="16.44140625" customWidth="1"/>
    <col min="7" max="7" width="0.33203125" customWidth="1"/>
    <col min="8" max="8" width="1.88671875" customWidth="1"/>
    <col min="9" max="9" width="2.5546875" customWidth="1"/>
    <col min="10" max="10" width="2" customWidth="1"/>
    <col min="11" max="11" width="38.109375" customWidth="1"/>
    <col min="12" max="12" width="19.109375" customWidth="1"/>
    <col min="13" max="13" width="10.109375" hidden="1" customWidth="1"/>
    <col min="14" max="15" width="17" customWidth="1"/>
    <col min="16" max="16" width="18.6640625" customWidth="1"/>
    <col min="17" max="17" width="11.44140625" customWidth="1"/>
    <col min="18" max="18" width="14" customWidth="1"/>
    <col min="19" max="19" width="11.44140625" customWidth="1"/>
    <col min="20" max="20" width="15.109375" customWidth="1"/>
    <col min="21" max="257" width="9.109375" customWidth="1"/>
  </cols>
  <sheetData>
    <row r="1" spans="1:20" x14ac:dyDescent="0.25">
      <c r="A1" s="4" t="s">
        <v>226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5"/>
      <c r="O1" s="5"/>
      <c r="P1" s="5"/>
      <c r="Q1" s="5"/>
      <c r="R1" s="5"/>
      <c r="S1" s="5"/>
      <c r="T1" s="5"/>
    </row>
    <row r="2" spans="1:20" x14ac:dyDescent="0.25">
      <c r="A2" s="4"/>
      <c r="B2" s="4"/>
      <c r="C2" s="4"/>
      <c r="D2" s="4"/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x14ac:dyDescent="0.25">
      <c r="A3" s="4" t="s">
        <v>227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5"/>
      <c r="O3" s="5"/>
      <c r="P3" s="5"/>
      <c r="Q3" s="5"/>
      <c r="R3" s="5"/>
      <c r="S3" s="5"/>
      <c r="T3" s="5"/>
    </row>
    <row r="4" spans="1:20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x14ac:dyDescent="0.25">
      <c r="A5" s="4" t="s">
        <v>228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5"/>
      <c r="N5" s="5"/>
      <c r="O5" s="5"/>
      <c r="P5" s="5"/>
      <c r="Q5" s="5"/>
      <c r="R5" s="5"/>
      <c r="S5" s="5"/>
      <c r="T5" s="5"/>
    </row>
    <row r="6" spans="1:20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12" customHeight="1" spans="1:20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ht="12.6" customHeight="1" spans="1:20" x14ac:dyDescent="0.25">
      <c r="A8" s="7"/>
      <c r="B8" s="8" t="s">
        <v>14</v>
      </c>
      <c r="C8" s="8"/>
      <c r="D8" s="8"/>
      <c r="E8" s="8"/>
      <c r="F8" s="9" t="s">
        <v>14</v>
      </c>
      <c r="G8" s="9"/>
      <c r="H8" s="8"/>
      <c r="I8" s="8"/>
      <c r="J8" s="8"/>
      <c r="K8" s="8"/>
      <c r="L8" s="10"/>
      <c r="M8" s="11"/>
      <c r="N8" s="12"/>
      <c r="O8" s="12"/>
      <c r="P8" s="12"/>
      <c r="Q8" s="12"/>
      <c r="R8" s="12"/>
      <c r="S8" s="12"/>
      <c r="T8" s="12"/>
    </row>
    <row r="9" ht="12" customHeight="1" spans="1:20" x14ac:dyDescent="0.25">
      <c r="A9" s="13"/>
      <c r="B9" s="12"/>
      <c r="C9" s="12" t="s">
        <v>14</v>
      </c>
      <c r="D9" s="12"/>
      <c r="E9" s="12"/>
      <c r="F9" s="14">
        <v>46234</v>
      </c>
      <c r="G9" s="14"/>
      <c r="H9" s="12"/>
      <c r="I9" s="12"/>
      <c r="J9" s="12"/>
      <c r="K9" s="12"/>
      <c r="L9" s="15">
        <f>+F9</f>
        <v>46234</v>
      </c>
      <c r="M9" s="16">
        <v>38717</v>
      </c>
      <c r="N9" s="12"/>
      <c r="O9" s="12"/>
      <c r="P9" s="12"/>
      <c r="Q9" s="12"/>
      <c r="R9" s="12"/>
      <c r="S9" s="12"/>
      <c r="T9" s="12"/>
    </row>
    <row r="10" ht="12" customHeight="1" spans="1:20" x14ac:dyDescent="0.25">
      <c r="A10" s="13"/>
      <c r="B10" s="17" t="s">
        <v>229</v>
      </c>
      <c r="C10" s="12"/>
      <c r="D10" s="12"/>
      <c r="E10" s="12"/>
      <c r="F10" s="18"/>
      <c r="G10" s="18"/>
      <c r="H10" s="12"/>
      <c r="I10" s="17" t="s">
        <v>230</v>
      </c>
      <c r="J10" s="12"/>
      <c r="K10" s="12"/>
      <c r="L10" s="19"/>
      <c r="M10" s="20"/>
      <c r="N10" s="12"/>
      <c r="O10" s="12"/>
      <c r="P10" s="12"/>
      <c r="Q10" s="12"/>
      <c r="R10" s="12"/>
      <c r="S10" s="12"/>
      <c r="T10" s="12"/>
    </row>
    <row r="11" ht="12" customHeight="1" spans="1:20" x14ac:dyDescent="0.25">
      <c r="A11" s="13"/>
      <c r="B11" s="12"/>
      <c r="C11" s="17" t="s">
        <v>231</v>
      </c>
      <c r="D11" s="12"/>
      <c r="E11" s="12"/>
      <c r="F11" s="21"/>
      <c r="G11" s="21"/>
      <c r="H11" s="12"/>
      <c r="I11" s="17" t="s">
        <v>232</v>
      </c>
      <c r="J11" s="12"/>
      <c r="K11" s="12"/>
      <c r="L11" s="22"/>
      <c r="M11" s="23"/>
      <c r="N11" s="12"/>
      <c r="O11" s="12"/>
      <c r="P11" s="12"/>
      <c r="Q11" s="12"/>
      <c r="R11" s="12"/>
      <c r="S11" s="12"/>
      <c r="T11" s="12"/>
    </row>
    <row r="12" ht="12" customHeight="1" spans="1:20" x14ac:dyDescent="0.25">
      <c r="A12" s="13"/>
      <c r="B12" s="12"/>
      <c r="C12" s="12"/>
      <c r="D12" s="12" t="s">
        <v>233</v>
      </c>
      <c r="E12" s="12"/>
      <c r="F12" s="24">
        <f>+Activo!F19</f>
        <v>-25381360.43</v>
      </c>
      <c r="G12" s="24"/>
      <c r="H12" s="25"/>
      <c r="I12" s="25"/>
      <c r="J12" s="25" t="s">
        <v>234</v>
      </c>
      <c r="K12" s="25"/>
      <c r="L12" s="26"/>
      <c r="M12" s="23"/>
      <c r="N12" s="12"/>
      <c r="O12" s="12"/>
      <c r="P12" s="12"/>
      <c r="Q12" s="12"/>
      <c r="R12" s="12"/>
      <c r="S12" s="12"/>
      <c r="T12" s="12"/>
    </row>
    <row r="13" ht="12" customHeight="1" hidden="1" spans="1:20" x14ac:dyDescent="0.25">
      <c r="A13" s="13"/>
      <c r="B13" s="12"/>
      <c r="C13" s="12"/>
      <c r="D13" s="12" t="s">
        <v>235</v>
      </c>
      <c r="E13" s="12"/>
      <c r="F13" s="24">
        <f>+Activo!F21</f>
        <v>0</v>
      </c>
      <c r="G13" s="24"/>
      <c r="H13" s="25"/>
      <c r="I13" s="25"/>
      <c r="J13" s="25"/>
      <c r="K13" s="25" t="s">
        <v>236</v>
      </c>
      <c r="L13" s="26">
        <f>+Pasivo!E29</f>
        <v>-32024141</v>
      </c>
      <c r="M13" s="23"/>
      <c r="N13" s="12"/>
      <c r="O13" s="12"/>
      <c r="P13" s="12"/>
      <c r="Q13" s="12"/>
      <c r="R13" s="12"/>
      <c r="S13" s="12"/>
      <c r="T13" s="12"/>
    </row>
    <row r="14" ht="12" customHeight="1" hidden="1" spans="1:20" x14ac:dyDescent="0.25">
      <c r="A14" s="13"/>
      <c r="B14" s="12"/>
      <c r="C14" s="12"/>
      <c r="D14" s="12" t="s">
        <v>237</v>
      </c>
      <c r="E14" s="12"/>
      <c r="F14" s="24">
        <f>+Activo!F37</f>
        <v>0</v>
      </c>
      <c r="G14" s="24"/>
      <c r="H14" s="25"/>
      <c r="I14" s="25"/>
      <c r="J14" s="25"/>
      <c r="K14" s="25" t="s">
        <v>238</v>
      </c>
      <c r="L14" s="26">
        <v>0</v>
      </c>
      <c r="M14" s="23"/>
      <c r="N14" s="12"/>
      <c r="O14" s="12"/>
      <c r="P14" s="12"/>
      <c r="Q14" s="12"/>
      <c r="R14" s="12"/>
      <c r="S14" s="12"/>
      <c r="T14" s="12"/>
    </row>
    <row r="15" ht="11.4" customHeight="1" spans="1:20" x14ac:dyDescent="0.25">
      <c r="A15" s="13"/>
      <c r="B15" s="12"/>
      <c r="C15" s="12"/>
      <c r="D15" s="12" t="s">
        <v>239</v>
      </c>
      <c r="E15" s="12"/>
      <c r="F15" s="24">
        <f>+Activo!F25</f>
        <v>-20812690.56</v>
      </c>
      <c r="G15" s="24"/>
      <c r="H15" s="25"/>
      <c r="I15" s="25"/>
      <c r="J15" s="25"/>
      <c r="K15" s="25" t="s">
        <v>240</v>
      </c>
      <c r="L15" s="26">
        <f>+Pasivo!E16</f>
        <v>87249492.08</v>
      </c>
      <c r="M15" s="23"/>
      <c r="N15" s="12"/>
      <c r="O15" s="12"/>
      <c r="P15" s="12"/>
      <c r="Q15" s="12"/>
      <c r="R15" s="12"/>
      <c r="S15" s="12"/>
      <c r="T15" s="12"/>
    </row>
    <row r="16" ht="12" customHeight="1" hidden="1" spans="1:20" x14ac:dyDescent="0.25">
      <c r="A16" s="13"/>
      <c r="B16" s="12"/>
      <c r="C16" s="12"/>
      <c r="D16" s="12"/>
      <c r="E16" s="12"/>
      <c r="F16" s="25"/>
      <c r="G16" s="24"/>
      <c r="H16" s="25"/>
      <c r="I16" s="25"/>
      <c r="J16" s="25"/>
      <c r="K16" s="25" t="s">
        <v>241</v>
      </c>
      <c r="L16" s="26">
        <v>0</v>
      </c>
      <c r="M16" s="23"/>
      <c r="N16" s="12"/>
      <c r="O16" s="12"/>
      <c r="P16" s="12"/>
      <c r="Q16" s="12"/>
      <c r="R16" s="12"/>
      <c r="S16" s="12"/>
      <c r="T16" s="12"/>
    </row>
    <row r="17" ht="12" customHeight="1" spans="1:20" x14ac:dyDescent="0.25">
      <c r="A17" s="13"/>
      <c r="B17" s="12"/>
      <c r="C17" s="12"/>
      <c r="D17" s="12" t="s">
        <v>242</v>
      </c>
      <c r="E17" s="12"/>
      <c r="F17" s="24">
        <f>+Activo!F29</f>
        <v>-636618.95</v>
      </c>
      <c r="G17" s="24"/>
      <c r="H17" s="25"/>
      <c r="I17" s="25"/>
      <c r="J17" s="25"/>
      <c r="K17" s="25" t="s">
        <v>243</v>
      </c>
      <c r="L17" s="26">
        <f>+Pasivo!E30</f>
        <v>-37946731.54</v>
      </c>
      <c r="M17" s="23"/>
      <c r="N17" s="27"/>
      <c r="O17" s="12"/>
      <c r="P17" s="12"/>
      <c r="Q17" s="12"/>
      <c r="R17" s="12"/>
      <c r="S17" s="12"/>
      <c r="T17" s="12"/>
    </row>
    <row r="18" ht="12" customHeight="1" spans="1:20" x14ac:dyDescent="0.25">
      <c r="A18" s="13"/>
      <c r="B18" s="12"/>
      <c r="C18" s="12"/>
      <c r="D18" s="12"/>
      <c r="E18" s="28"/>
      <c r="F18" s="25"/>
      <c r="G18" s="24"/>
      <c r="H18" s="25"/>
      <c r="I18" s="25"/>
      <c r="J18" s="25"/>
      <c r="K18" s="25" t="s">
        <v>244</v>
      </c>
      <c r="L18" s="26">
        <f>+Pasivo!E37</f>
        <v>189282.89</v>
      </c>
      <c r="M18" s="23"/>
      <c r="N18" s="27"/>
      <c r="O18" s="12"/>
      <c r="P18" s="25"/>
      <c r="Q18" s="25"/>
      <c r="R18" s="25"/>
      <c r="S18" s="25"/>
      <c r="T18" s="25"/>
    </row>
    <row r="19" ht="12" customHeight="1" hidden="1" spans="1:20" x14ac:dyDescent="0.25">
      <c r="A19" s="13"/>
      <c r="B19" s="12"/>
      <c r="C19" s="12"/>
      <c r="D19" s="12"/>
      <c r="E19" s="12"/>
      <c r="F19" s="24"/>
      <c r="G19" s="24"/>
      <c r="H19" s="25"/>
      <c r="I19" s="25"/>
      <c r="J19" s="25"/>
      <c r="K19" s="25" t="s">
        <v>245</v>
      </c>
      <c r="L19" s="26">
        <v>0</v>
      </c>
      <c r="M19" s="23"/>
      <c r="N19" s="12"/>
      <c r="O19" s="12"/>
      <c r="P19" s="12"/>
      <c r="Q19" s="12"/>
      <c r="R19" s="12"/>
      <c r="S19" s="12"/>
      <c r="T19" s="12"/>
    </row>
    <row r="20" ht="12" customHeight="1" hidden="1" spans="1:20" x14ac:dyDescent="0.25">
      <c r="A20" s="13"/>
      <c r="B20" s="12"/>
      <c r="C20" s="12"/>
      <c r="D20" s="12"/>
      <c r="E20" s="12"/>
      <c r="F20" s="24"/>
      <c r="G20" s="24"/>
      <c r="H20" s="25"/>
      <c r="I20" s="25"/>
      <c r="J20" s="25"/>
      <c r="K20" s="25" t="s">
        <v>246</v>
      </c>
      <c r="L20" s="26">
        <v>0</v>
      </c>
      <c r="M20" s="23"/>
      <c r="N20" s="12"/>
      <c r="O20" s="12"/>
      <c r="P20" s="25"/>
      <c r="Q20" s="25"/>
      <c r="R20" s="25"/>
      <c r="S20" s="25"/>
      <c r="T20" s="25"/>
    </row>
    <row r="21" ht="12" customHeight="1" hidden="1" spans="1:20" x14ac:dyDescent="0.25">
      <c r="A21" s="13"/>
      <c r="B21" s="12"/>
      <c r="C21" s="12"/>
      <c r="D21" s="12"/>
      <c r="E21" s="12"/>
      <c r="F21" s="24"/>
      <c r="G21" s="24"/>
      <c r="H21" s="25"/>
      <c r="I21" s="25"/>
      <c r="J21" s="25"/>
      <c r="K21" s="25" t="s">
        <v>247</v>
      </c>
      <c r="L21" s="26">
        <f>+Pasivo!E19</f>
        <v>0</v>
      </c>
      <c r="M21" s="23"/>
      <c r="N21" s="12"/>
      <c r="O21" s="12"/>
      <c r="P21" s="25"/>
      <c r="Q21" s="25"/>
      <c r="R21" s="25"/>
      <c r="S21" s="25"/>
      <c r="T21" s="25"/>
    </row>
    <row r="22" ht="12" customHeight="1" spans="1:20" x14ac:dyDescent="0.25">
      <c r="A22" s="13"/>
      <c r="B22" s="12"/>
      <c r="C22" s="12"/>
      <c r="D22" s="12" t="s">
        <v>248</v>
      </c>
      <c r="E22" s="12"/>
      <c r="F22" s="24">
        <f>+Activo!F62</f>
        <v>-2811999.2</v>
      </c>
      <c r="G22" s="24"/>
      <c r="H22" s="25"/>
      <c r="I22" s="25"/>
      <c r="J22" s="25" t="s">
        <v>249</v>
      </c>
      <c r="K22" s="25"/>
      <c r="L22" s="26">
        <f>+L15+L16+L17+L18</f>
        <v>49492043.43</v>
      </c>
      <c r="M22" s="23"/>
      <c r="N22" s="29"/>
      <c r="O22" s="27"/>
      <c r="P22" s="25"/>
      <c r="Q22" s="25"/>
      <c r="R22" s="25"/>
      <c r="S22" s="25"/>
      <c r="T22" s="25"/>
    </row>
    <row r="23" ht="12" customHeight="1" spans="1:20" x14ac:dyDescent="0.25">
      <c r="A23" s="13"/>
      <c r="B23" s="12"/>
      <c r="C23" s="12"/>
      <c r="D23" s="12"/>
      <c r="E23" s="12"/>
      <c r="F23" s="24"/>
      <c r="G23" s="24"/>
      <c r="H23" s="25"/>
      <c r="I23" s="25"/>
      <c r="J23" s="25"/>
      <c r="K23" s="25"/>
      <c r="L23" s="26">
        <v>0</v>
      </c>
      <c r="M23" s="23"/>
      <c r="N23" s="12"/>
      <c r="O23" s="12"/>
      <c r="P23" s="25"/>
      <c r="Q23" s="25"/>
      <c r="R23" s="25"/>
      <c r="S23" s="25"/>
      <c r="T23" s="25"/>
    </row>
    <row r="24" ht="12" customHeight="1" spans="1:20" x14ac:dyDescent="0.25">
      <c r="A24" s="13"/>
      <c r="B24" s="12"/>
      <c r="C24" s="17" t="s">
        <v>250</v>
      </c>
      <c r="D24" s="12"/>
      <c r="E24" s="12"/>
      <c r="F24" s="30">
        <f>SUM(F12:F22)</f>
        <v>-49642669.14</v>
      </c>
      <c r="G24" s="24"/>
      <c r="H24" s="25"/>
      <c r="I24" s="31" t="s">
        <v>251</v>
      </c>
      <c r="J24" s="25"/>
      <c r="K24" s="25"/>
      <c r="L24" s="32">
        <f>+L22</f>
        <v>49492043.43</v>
      </c>
      <c r="M24" s="23"/>
      <c r="N24" s="27"/>
      <c r="O24" s="27"/>
      <c r="P24" s="25"/>
      <c r="Q24" s="25"/>
      <c r="R24" s="25"/>
      <c r="S24" s="25"/>
      <c r="T24" s="25"/>
    </row>
    <row r="25" ht="12" customHeight="1" spans="1:20" x14ac:dyDescent="0.25">
      <c r="A25" s="13"/>
      <c r="B25" s="12"/>
      <c r="C25" s="12"/>
      <c r="D25" s="12"/>
      <c r="E25" s="33"/>
      <c r="F25" s="24"/>
      <c r="G25" s="24"/>
      <c r="H25" s="25"/>
      <c r="I25" s="31" t="s">
        <v>252</v>
      </c>
      <c r="J25" s="25"/>
      <c r="K25" s="25"/>
      <c r="L25" s="34">
        <f>+L24</f>
        <v>49492043.43</v>
      </c>
      <c r="M25" s="23"/>
      <c r="N25" s="35"/>
      <c r="O25" s="25"/>
      <c r="P25" s="25"/>
      <c r="Q25" s="25"/>
      <c r="R25" s="25"/>
      <c r="S25" s="25"/>
      <c r="T25" s="25"/>
    </row>
    <row r="26" ht="12" customHeight="1" spans="1:20" x14ac:dyDescent="0.25">
      <c r="A26" s="13"/>
      <c r="B26" s="12"/>
      <c r="C26" s="12" t="s">
        <v>14</v>
      </c>
      <c r="D26" s="12"/>
      <c r="E26" s="12"/>
      <c r="F26" s="24"/>
      <c r="G26" s="24"/>
      <c r="H26" s="25"/>
      <c r="I26" s="25"/>
      <c r="J26" s="25"/>
      <c r="K26" s="25"/>
      <c r="L26" s="26"/>
      <c r="M26" s="23"/>
      <c r="N26" s="27"/>
      <c r="O26" s="35"/>
      <c r="P26" s="25"/>
      <c r="Q26" s="25"/>
      <c r="R26" s="25"/>
      <c r="S26" s="25"/>
      <c r="T26" s="25"/>
    </row>
    <row r="27" ht="12" customHeight="1" spans="1:20" x14ac:dyDescent="0.25">
      <c r="A27" s="13"/>
      <c r="B27" s="12"/>
      <c r="C27" s="12"/>
      <c r="D27" s="12"/>
      <c r="E27" s="12"/>
      <c r="F27" s="24"/>
      <c r="G27" s="24"/>
      <c r="H27" s="25"/>
      <c r="I27" s="25"/>
      <c r="J27" s="25"/>
      <c r="K27" s="25"/>
      <c r="L27" s="26"/>
      <c r="M27" s="23"/>
      <c r="N27" s="12"/>
      <c r="O27" s="12"/>
      <c r="P27" s="27"/>
      <c r="Q27" s="12"/>
      <c r="R27" s="12"/>
      <c r="S27" s="12"/>
      <c r="T27" s="12"/>
    </row>
    <row r="28" ht="12" customHeight="1" spans="1:20" x14ac:dyDescent="0.25">
      <c r="A28" s="13"/>
      <c r="B28" s="12"/>
      <c r="C28" s="17" t="s">
        <v>253</v>
      </c>
      <c r="D28" s="12"/>
      <c r="E28" s="12"/>
      <c r="F28" s="24"/>
      <c r="G28" s="24"/>
      <c r="H28" s="25"/>
      <c r="I28" s="25" t="s">
        <v>14</v>
      </c>
      <c r="J28" s="25" t="s">
        <v>14</v>
      </c>
      <c r="K28" s="25"/>
      <c r="L28" s="26"/>
      <c r="M28" s="23"/>
      <c r="N28" s="27"/>
      <c r="O28" s="12"/>
      <c r="P28" s="12"/>
      <c r="Q28" s="12"/>
      <c r="R28" s="12"/>
      <c r="S28" s="12"/>
      <c r="T28" s="12"/>
    </row>
    <row r="29" ht="12" customHeight="1" spans="1:20" x14ac:dyDescent="0.25">
      <c r="A29" s="13"/>
      <c r="B29" s="12"/>
      <c r="C29" s="12"/>
      <c r="D29" s="12" t="s">
        <v>254</v>
      </c>
      <c r="E29" s="12"/>
      <c r="F29" s="24">
        <f>+SALDOS!E47</f>
        <v>-2485298.32</v>
      </c>
      <c r="G29" s="24"/>
      <c r="H29" s="25"/>
      <c r="I29" s="25" t="s">
        <v>255</v>
      </c>
      <c r="J29" s="25"/>
      <c r="K29" s="25"/>
      <c r="L29" s="26">
        <f>+EEPN!I18</f>
        <v>-101620010.89</v>
      </c>
      <c r="M29" s="36"/>
      <c r="N29" s="37"/>
      <c r="O29" s="27"/>
      <c r="P29" s="27"/>
      <c r="Q29" s="12"/>
      <c r="R29" s="12"/>
      <c r="S29" s="12"/>
      <c r="T29" s="12"/>
    </row>
    <row r="30" ht="12" customHeight="1" spans="1:20" x14ac:dyDescent="0.25">
      <c r="A30" s="13"/>
      <c r="B30" s="12"/>
      <c r="C30" s="12"/>
      <c r="D30" s="12"/>
      <c r="E30" s="12"/>
      <c r="F30" s="24"/>
      <c r="G30" s="24"/>
      <c r="H30" s="25"/>
      <c r="I30" s="25"/>
      <c r="J30" s="25"/>
      <c r="K30" s="25"/>
      <c r="L30" s="26"/>
      <c r="M30" s="36"/>
      <c r="N30" s="27"/>
      <c r="O30" s="27"/>
      <c r="P30" s="12"/>
      <c r="Q30" s="12"/>
      <c r="R30" s="12"/>
      <c r="S30" s="12"/>
      <c r="T30" s="12"/>
    </row>
    <row r="31" ht="12" customHeight="1" spans="1:20" x14ac:dyDescent="0.25">
      <c r="A31" s="13"/>
      <c r="B31" s="12"/>
      <c r="C31" s="17" t="s">
        <v>256</v>
      </c>
      <c r="D31" s="12"/>
      <c r="E31" s="12"/>
      <c r="F31" s="30">
        <f>SUM(F29:F30)</f>
        <v>-2485298.32</v>
      </c>
      <c r="G31" s="24"/>
      <c r="H31" s="25"/>
      <c r="I31" s="25"/>
      <c r="J31" s="25"/>
      <c r="K31" s="25" t="s">
        <v>14</v>
      </c>
      <c r="L31" s="32">
        <f>+L29</f>
        <v>-101620010.89</v>
      </c>
      <c r="M31" s="23"/>
      <c r="N31" s="27"/>
      <c r="O31" s="25"/>
      <c r="P31" s="12"/>
      <c r="Q31" s="12"/>
      <c r="R31" s="12"/>
      <c r="S31" s="12"/>
      <c r="T31" s="12"/>
    </row>
    <row r="32" ht="12" customHeight="1" spans="1:20" x14ac:dyDescent="0.25">
      <c r="A32" s="13"/>
      <c r="B32" s="12"/>
      <c r="C32" s="12"/>
      <c r="D32" s="12"/>
      <c r="E32" s="12"/>
      <c r="F32" s="24"/>
      <c r="G32" s="24"/>
      <c r="H32" s="25"/>
      <c r="I32" s="25"/>
      <c r="J32" s="25"/>
      <c r="K32" s="25"/>
      <c r="L32" s="26"/>
      <c r="M32" s="23"/>
      <c r="N32" s="12"/>
      <c r="O32" s="25"/>
      <c r="P32" s="12"/>
      <c r="Q32" s="12"/>
      <c r="R32" s="12"/>
      <c r="S32" s="12"/>
      <c r="T32" s="12"/>
    </row>
    <row r="33" ht="12.6" customHeight="1" spans="1:20" x14ac:dyDescent="0.25">
      <c r="A33" s="38"/>
      <c r="B33" s="39"/>
      <c r="C33" s="40" t="s">
        <v>257</v>
      </c>
      <c r="D33" s="39"/>
      <c r="E33" s="39"/>
      <c r="F33" s="41">
        <f>+F24+F31</f>
        <v>-52127967.46</v>
      </c>
      <c r="G33" s="41"/>
      <c r="H33" s="42"/>
      <c r="I33" s="43" t="s">
        <v>258</v>
      </c>
      <c r="J33" s="42"/>
      <c r="K33" s="42"/>
      <c r="L33" s="44">
        <f>+L25+L31</f>
        <v>-52127967.46</v>
      </c>
      <c r="M33" s="45"/>
      <c r="N33" s="25"/>
      <c r="O33" s="25"/>
      <c r="P33" s="25"/>
      <c r="Q33" s="12"/>
      <c r="R33" s="12"/>
      <c r="S33" s="12"/>
      <c r="T33" s="12"/>
    </row>
    <row r="34" ht="12" customHeight="1" spans="1:20" x14ac:dyDescent="0.25">
      <c r="A34" s="6"/>
      <c r="B34" s="6"/>
      <c r="C34" s="6"/>
      <c r="D34" s="6"/>
      <c r="E34" s="6"/>
      <c r="F34" s="46"/>
      <c r="G34" s="6"/>
      <c r="H34" s="6"/>
      <c r="I34" s="6"/>
      <c r="J34" s="6"/>
      <c r="K34" s="6"/>
      <c r="L34" s="47"/>
      <c r="M34" s="6"/>
      <c r="N34" s="6"/>
      <c r="O34" s="48"/>
      <c r="P34" s="48"/>
      <c r="Q34" s="6"/>
      <c r="R34" s="6"/>
      <c r="S34" s="6"/>
      <c r="T34" s="6"/>
    </row>
    <row r="35" spans="1:20" x14ac:dyDescent="0.25">
      <c r="A35" s="5"/>
      <c r="B35" s="5"/>
      <c r="C35" s="5"/>
      <c r="D35" s="5"/>
      <c r="E35" s="5"/>
      <c r="F35" s="49"/>
      <c r="G35" s="5"/>
      <c r="H35" s="5"/>
      <c r="I35" s="5"/>
      <c r="J35" s="5"/>
      <c r="K35" s="50"/>
      <c r="L35" s="51"/>
      <c r="M35" s="5"/>
      <c r="N35" s="49"/>
      <c r="O35" s="52"/>
      <c r="P35" s="53"/>
      <c r="Q35" s="5"/>
      <c r="R35" s="5"/>
      <c r="S35" s="5"/>
      <c r="T35" s="5"/>
    </row>
    <row r="36" spans="1:20" x14ac:dyDescent="0.25">
      <c r="A36" s="5"/>
      <c r="B36" s="5"/>
      <c r="C36" s="5"/>
      <c r="D36" s="5"/>
      <c r="E36" s="5"/>
      <c r="F36" s="29"/>
      <c r="G36" s="50"/>
      <c r="H36" s="5"/>
      <c r="I36" s="5"/>
      <c r="J36" s="5"/>
      <c r="K36" s="50"/>
      <c r="L36" s="54"/>
      <c r="M36" s="5"/>
      <c r="N36" s="50"/>
      <c r="O36" s="5"/>
      <c r="P36" s="53"/>
      <c r="Q36" s="5"/>
      <c r="R36" s="5"/>
      <c r="S36" s="5"/>
      <c r="T36" s="5"/>
    </row>
    <row r="37" spans="1:20" x14ac:dyDescent="0.25">
      <c r="A37" s="5"/>
      <c r="B37" s="5"/>
      <c r="C37" s="5"/>
      <c r="D37" s="5"/>
      <c r="E37" s="5"/>
      <c r="F37" s="55"/>
      <c r="G37" s="5"/>
      <c r="H37" s="5"/>
      <c r="I37" s="5"/>
      <c r="J37" s="5"/>
      <c r="K37" s="50"/>
      <c r="L37" s="51"/>
      <c r="M37" s="5"/>
      <c r="N37" s="50"/>
      <c r="O37" s="5"/>
      <c r="P37" s="5"/>
      <c r="Q37" s="5"/>
      <c r="R37" s="5"/>
      <c r="S37" s="5"/>
      <c r="T37" s="5"/>
    </row>
    <row r="38" spans="1:20" x14ac:dyDescent="0.25">
      <c r="A38" s="5"/>
      <c r="B38" s="5"/>
      <c r="C38" s="5"/>
      <c r="D38" s="5"/>
      <c r="E38" s="5"/>
      <c r="F38" s="29"/>
      <c r="G38" s="5"/>
      <c r="H38" s="5"/>
      <c r="I38" s="5"/>
      <c r="J38" s="5"/>
      <c r="K38" s="50"/>
      <c r="L38" s="50"/>
      <c r="M38" s="5"/>
      <c r="N38" s="50"/>
      <c r="O38" s="5"/>
      <c r="P38" s="5"/>
      <c r="Q38" s="5"/>
      <c r="R38" s="5"/>
      <c r="S38" s="5"/>
      <c r="T38" s="5"/>
    </row>
    <row r="39" spans="1:20" x14ac:dyDescent="0.25">
      <c r="A39" s="5"/>
      <c r="B39" s="5"/>
      <c r="C39" s="5"/>
      <c r="D39" s="5"/>
      <c r="E39" s="5"/>
      <c r="F39" s="37"/>
      <c r="G39" s="5"/>
      <c r="H39" s="5"/>
      <c r="I39" s="5"/>
      <c r="J39" s="5"/>
      <c r="K39" s="50"/>
      <c r="L39" s="50"/>
      <c r="M39" s="5"/>
      <c r="N39" s="5"/>
      <c r="O39" s="5"/>
      <c r="P39" s="5"/>
      <c r="Q39" s="5"/>
      <c r="R39" s="5"/>
      <c r="S39" s="5"/>
      <c r="T39" s="5"/>
    </row>
    <row r="40" spans="1:20" x14ac:dyDescent="0.25">
      <c r="A40" s="5"/>
      <c r="B40" s="5"/>
      <c r="C40" s="5"/>
      <c r="D40" s="5"/>
      <c r="E40" s="5"/>
      <c r="F40" s="5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x14ac:dyDescent="0.25">
      <c r="A41" s="5"/>
      <c r="B41" s="5"/>
      <c r="C41" s="5"/>
      <c r="D41" s="5"/>
      <c r="E41" s="5"/>
      <c r="F41" s="50"/>
      <c r="G41" s="5"/>
      <c r="H41" s="5"/>
      <c r="I41" s="5"/>
      <c r="J41" s="5"/>
      <c r="K41" s="5"/>
      <c r="L41" s="55"/>
      <c r="M41" s="5"/>
      <c r="N41" s="50"/>
      <c r="O41" s="5"/>
      <c r="P41" s="5"/>
      <c r="Q41" s="5"/>
      <c r="R41" s="5"/>
      <c r="S41" s="5"/>
      <c r="T41" s="5"/>
    </row>
    <row r="42" spans="1:20" x14ac:dyDescent="0.25">
      <c r="A42" s="5"/>
      <c r="B42" s="5"/>
      <c r="C42" s="5"/>
      <c r="D42" s="5"/>
      <c r="E42" s="5"/>
      <c r="F42" s="50"/>
      <c r="G42" s="5"/>
      <c r="H42" s="5"/>
      <c r="I42" s="5"/>
      <c r="J42" s="5"/>
      <c r="K42" s="50"/>
      <c r="L42" s="5"/>
      <c r="M42" s="5"/>
      <c r="N42" s="5"/>
      <c r="O42" s="5"/>
      <c r="P42" s="5"/>
      <c r="Q42" s="5"/>
      <c r="R42" s="5"/>
      <c r="S42" s="5"/>
      <c r="T42" s="5"/>
    </row>
  </sheetData>
  <mergeCells count="3">
    <mergeCell ref="A1:L1"/>
    <mergeCell ref="A3:L3"/>
    <mergeCell ref="A5:L5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zoomScale="100" zoomScaleNormal="100">
      <selection activeCell="A3" sqref="A3"/>
    </sheetView>
  </sheetViews>
  <sheetFormatPr defaultRowHeight="0" outlineLevelRow="0" outlineLevelCol="0" x14ac:dyDescent="0" customHeight="1"/>
  <cols>
    <col min="1" max="1" width="40.88671875" customWidth="1"/>
    <col min="2" max="2" width="1.88671875" customWidth="1"/>
    <col min="3" max="3" width="17.109375" customWidth="1"/>
    <col min="4" max="4" width="12.109375" hidden="1" customWidth="1"/>
    <col min="5" max="5" width="14.44140625" customWidth="1"/>
    <col min="6" max="6" width="13.6640625" customWidth="1"/>
    <col min="7" max="257" width="9.109375" customWidth="1"/>
  </cols>
  <sheetData>
    <row r="1" spans="1:9" x14ac:dyDescent="0.25">
      <c r="A1" s="4" t="s">
        <v>226</v>
      </c>
      <c r="B1" s="4"/>
      <c r="C1" s="4"/>
      <c r="D1" s="57"/>
      <c r="E1" s="57"/>
      <c r="F1" s="57"/>
      <c r="G1" s="57"/>
      <c r="H1" s="57"/>
      <c r="I1" s="57"/>
    </row>
    <row r="2" spans="1:9" x14ac:dyDescent="0.25">
      <c r="A2" s="4"/>
      <c r="B2" s="4"/>
      <c r="C2" s="4"/>
      <c r="D2" s="4"/>
      <c r="E2" s="4"/>
      <c r="F2" s="4"/>
      <c r="G2" s="4"/>
      <c r="H2" s="4"/>
      <c r="I2" s="4"/>
    </row>
    <row r="3" spans="1:9" x14ac:dyDescent="0.25">
      <c r="A3" s="4" t="str">
        <f>+EESP!A3</f>
        <v>31 de Julio de 2026</v>
      </c>
      <c r="B3" s="4"/>
      <c r="C3" s="4"/>
      <c r="D3" s="57"/>
      <c r="E3" s="57"/>
      <c r="F3" s="57"/>
      <c r="G3" s="57"/>
      <c r="H3" s="57"/>
      <c r="I3" s="57"/>
    </row>
    <row r="4" spans="1:9" x14ac:dyDescent="0.25"/>
    <row r="5" spans="1:9" x14ac:dyDescent="0.25">
      <c r="A5" s="4" t="s">
        <v>259</v>
      </c>
      <c r="B5" s="4"/>
      <c r="C5" s="4"/>
      <c r="D5" s="57"/>
      <c r="E5" s="57"/>
      <c r="F5" s="57"/>
      <c r="G5" s="57"/>
      <c r="H5" s="57"/>
      <c r="I5" s="57"/>
    </row>
    <row r="6" spans="1:9" x14ac:dyDescent="0.25"/>
    <row r="7" ht="13.8" customHeight="1" spans="1:9" x14ac:dyDescent="0.25"/>
    <row r="8" ht="13.8" customHeight="1" spans="1:9" x14ac:dyDescent="0.25">
      <c r="A8" s="7"/>
      <c r="B8" s="8"/>
      <c r="C8" s="10"/>
      <c r="D8" s="58"/>
    </row>
    <row r="9" spans="1:9" x14ac:dyDescent="0.25">
      <c r="A9" s="13"/>
      <c r="B9" s="12"/>
      <c r="C9" s="15">
        <f>+EESP!F9</f>
        <v>46234</v>
      </c>
      <c r="D9" s="59">
        <f>+EESP!G9</f>
        <v>0</v>
      </c>
    </row>
    <row r="10" spans="1:9" x14ac:dyDescent="0.25">
      <c r="A10" s="13"/>
      <c r="B10" s="12"/>
      <c r="C10" s="19"/>
      <c r="D10" s="60"/>
    </row>
    <row r="11" spans="1:9" x14ac:dyDescent="0.25">
      <c r="A11" s="13"/>
      <c r="B11" s="12"/>
      <c r="C11" s="26"/>
      <c r="D11" s="61"/>
    </row>
    <row r="12" spans="1:9" x14ac:dyDescent="0.25">
      <c r="A12" s="13" t="s">
        <v>260</v>
      </c>
      <c r="B12" s="12"/>
      <c r="C12" s="26">
        <f>+SALDOS!C129-SALDOS!B129</f>
        <v>0</v>
      </c>
      <c r="D12" s="61"/>
    </row>
    <row r="13" spans="1:9" x14ac:dyDescent="0.25">
      <c r="A13" s="13"/>
      <c r="B13" s="12"/>
      <c r="C13" s="26"/>
      <c r="D13" s="61"/>
    </row>
    <row r="14" spans="1:9" x14ac:dyDescent="0.25">
      <c r="A14" s="13"/>
      <c r="B14" s="12"/>
      <c r="C14" s="26"/>
      <c r="D14" s="61"/>
    </row>
    <row r="15" spans="1:9" x14ac:dyDescent="0.25">
      <c r="A15" s="13" t="s">
        <v>261</v>
      </c>
      <c r="B15" s="12" t="s">
        <v>14</v>
      </c>
      <c r="C15" s="26">
        <f>+'Anexo II'!E113</f>
        <v>94344997.22</v>
      </c>
      <c r="D15" s="61"/>
    </row>
    <row r="16" spans="1:9" x14ac:dyDescent="0.25">
      <c r="A16" s="13" t="s">
        <v>262</v>
      </c>
      <c r="B16" s="12"/>
      <c r="C16" s="26">
        <f>+'Anexo II'!D113</f>
        <v>6217669.69</v>
      </c>
      <c r="D16" s="61"/>
      <c r="F16" s="50"/>
    </row>
    <row r="17" spans="1:9" x14ac:dyDescent="0.25">
      <c r="A17" s="13" t="s">
        <v>263</v>
      </c>
      <c r="B17" s="12"/>
      <c r="C17" s="26">
        <f>+'Anexo II'!F113</f>
        <v>1734653.42</v>
      </c>
      <c r="D17" s="62"/>
      <c r="E17" s="50"/>
    </row>
    <row r="18" spans="1:9" x14ac:dyDescent="0.25">
      <c r="A18" s="13"/>
      <c r="B18" s="12"/>
      <c r="C18" s="26"/>
      <c r="D18" s="61"/>
    </row>
    <row r="19" spans="1:9" x14ac:dyDescent="0.25">
      <c r="A19" s="13" t="s">
        <v>264</v>
      </c>
      <c r="B19" s="12"/>
      <c r="C19" s="32">
        <f>+C12+C13-C15-C16-C17</f>
        <v>-102297320.33</v>
      </c>
      <c r="D19" s="62"/>
    </row>
    <row r="20" spans="1:9" x14ac:dyDescent="0.25">
      <c r="A20" s="13" t="s">
        <v>265</v>
      </c>
      <c r="B20" s="12"/>
      <c r="C20" s="26">
        <f>+SALDOS!C135</f>
        <v>0</v>
      </c>
      <c r="D20" s="61"/>
    </row>
    <row r="21" spans="1:9" x14ac:dyDescent="0.25">
      <c r="A21" s="13" t="s">
        <v>266</v>
      </c>
      <c r="B21" s="12"/>
      <c r="C21" s="26">
        <f>-SALDOS!B132+SALDOS!C132</f>
        <v>0</v>
      </c>
      <c r="D21" s="61"/>
    </row>
    <row r="22" spans="1:9" x14ac:dyDescent="0.25">
      <c r="A22" s="13" t="s">
        <v>267</v>
      </c>
      <c r="B22" s="12"/>
      <c r="C22" s="26">
        <f>-SALDOS!B130+SALDOS!C130</f>
        <v>0</v>
      </c>
      <c r="D22" s="61"/>
      <c r="F22" s="50"/>
    </row>
    <row r="23" spans="1:9" x14ac:dyDescent="0.25">
      <c r="A23" s="13" t="s">
        <v>268</v>
      </c>
      <c r="B23" s="12"/>
      <c r="C23" s="26">
        <f>+SALDOS!C131+SALDOS!C136</f>
        <v>677309.4400000001</v>
      </c>
      <c r="D23" s="61"/>
    </row>
    <row r="24" spans="1:9" x14ac:dyDescent="0.25">
      <c r="A24" s="13" t="s">
        <v>269</v>
      </c>
      <c r="B24" s="12"/>
      <c r="C24" s="26">
        <f>+SALDOS!C218</f>
      </c>
      <c r="D24" s="61"/>
    </row>
    <row r="25" spans="1:9" x14ac:dyDescent="0.25">
      <c r="A25" s="13" t="s">
        <v>270</v>
      </c>
      <c r="B25" s="12"/>
      <c r="C25" s="32">
        <f>+C19+C20+C22+C21+C23+C24</f>
        <v>-101620010.89</v>
      </c>
      <c r="D25" s="61"/>
      <c r="E25" s="50"/>
    </row>
    <row r="26" spans="1:9" x14ac:dyDescent="0.25">
      <c r="A26" s="13" t="s">
        <v>271</v>
      </c>
      <c r="B26" s="12"/>
      <c r="C26" s="26">
        <v>0</v>
      </c>
      <c r="D26" s="61"/>
    </row>
    <row r="27" spans="1:9" x14ac:dyDescent="0.25">
      <c r="A27" s="13"/>
      <c r="B27" s="12"/>
      <c r="C27" s="26"/>
      <c r="D27" s="61"/>
    </row>
    <row r="28" spans="1:9" x14ac:dyDescent="0.25">
      <c r="A28" s="13" t="s">
        <v>272</v>
      </c>
      <c r="B28" s="12"/>
      <c r="C28" s="32">
        <f>+C25-C26</f>
        <v>-101620010.89</v>
      </c>
      <c r="D28" s="61"/>
      <c r="E28" s="63"/>
      <c r="F28" s="50"/>
    </row>
    <row r="29" spans="1:9" x14ac:dyDescent="0.25">
      <c r="A29" s="13"/>
      <c r="B29" s="12"/>
      <c r="C29" s="26"/>
      <c r="D29" s="61"/>
      <c r="F29" s="50"/>
      <c r="G29" s="50"/>
    </row>
    <row r="30" ht="13.8" customHeight="1" spans="1:9" x14ac:dyDescent="0.25">
      <c r="A30" s="38"/>
      <c r="B30" s="39"/>
      <c r="C30" s="44"/>
      <c r="D30" s="64"/>
    </row>
    <row r="31" ht="13.8" customHeight="1" spans="1:9" x14ac:dyDescent="0.25">
      <c r="C31" s="50"/>
    </row>
    <row r="32" spans="1:9" x14ac:dyDescent="0.25">
      <c r="C32" s="50"/>
    </row>
    <row r="33" spans="1:9" x14ac:dyDescent="0.25"/>
    <row r="34" spans="1:9" x14ac:dyDescent="0.25">
      <c r="C34" s="50"/>
      <c r="G34" s="65" t="s">
        <v>14</v>
      </c>
    </row>
  </sheetData>
  <mergeCells count="3">
    <mergeCell ref="A1:C1"/>
    <mergeCell ref="A3:C3"/>
    <mergeCell ref="A5:C5"/>
  </mergeCells>
  <pageMargins left="0.75" right="0.75" top="1" bottom="1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 zoomScale="85" zoomScaleNormal="85">
      <selection activeCell="B2" sqref="B2"/>
    </sheetView>
  </sheetViews>
  <sheetFormatPr defaultRowHeight="0" outlineLevelRow="0" outlineLevelCol="0" x14ac:dyDescent="0" customHeight="1"/>
  <cols>
    <col min="1" max="1" width="0.44140625" customWidth="1"/>
    <col min="2" max="2" width="31" customWidth="1"/>
    <col min="3" max="3" width="11.88671875" customWidth="1"/>
    <col min="4" max="4" width="11.6640625" customWidth="1"/>
    <col min="5" max="5" width="9.6640625" customWidth="1"/>
    <col min="6" max="6" width="12.6640625" customWidth="1"/>
    <col min="7" max="7" width="12.33203125" customWidth="1"/>
    <col min="8" max="8" width="15.109375" customWidth="1"/>
    <col min="9" max="10" width="17.88671875" customWidth="1"/>
    <col min="11" max="11" width="14.6640625" hidden="1" customWidth="1"/>
    <col min="12" max="257" width="9.109375" customWidth="1"/>
  </cols>
  <sheetData>
    <row r="1" ht="15.6" customHeight="1" spans="1:11" x14ac:dyDescent="0.25">
      <c r="A1" s="66" t="str">
        <f>+EESP!A1</f>
        <v>TRANSPORTES FURLONG S.A</v>
      </c>
      <c r="B1" s="66"/>
      <c r="C1" s="66"/>
      <c r="D1" s="66"/>
      <c r="E1" s="66"/>
      <c r="F1" s="66"/>
      <c r="G1" s="66"/>
      <c r="H1" s="66"/>
      <c r="I1" s="66"/>
      <c r="J1" s="66"/>
      <c r="K1" s="67"/>
    </row>
    <row r="2" spans="1:11" x14ac:dyDescent="0.25">
      <c r="A2" s="68" t="str">
        <f>+EESP!A3</f>
        <v>31 de Julio de 2026</v>
      </c>
      <c r="B2" s="4" t="str">
        <f>+EESP!A3</f>
        <v>31 de Julio de 2026</v>
      </c>
      <c r="C2" s="4"/>
      <c r="D2" s="4"/>
      <c r="E2" s="4"/>
      <c r="F2" s="4"/>
      <c r="G2" s="4"/>
      <c r="H2" s="4"/>
      <c r="I2" s="4"/>
      <c r="J2" s="4"/>
      <c r="K2" s="67"/>
    </row>
    <row r="3" spans="1:11" x14ac:dyDescent="0.25">
      <c r="A3" s="4" t="s">
        <v>273</v>
      </c>
      <c r="B3" s="4"/>
      <c r="C3" s="4"/>
      <c r="D3" s="4"/>
      <c r="E3" s="4"/>
      <c r="F3" s="4"/>
      <c r="G3" s="4"/>
      <c r="H3" s="4"/>
      <c r="I3" s="4"/>
      <c r="J3" s="4"/>
      <c r="K3" s="67"/>
    </row>
    <row r="4" ht="13.8" customHeight="1" spans="1:11" x14ac:dyDescent="0.25">
      <c r="A4" s="67" t="s">
        <v>14</v>
      </c>
      <c r="B4" s="67"/>
      <c r="C4" s="67"/>
      <c r="D4" s="67"/>
      <c r="E4" s="67"/>
      <c r="F4" s="67"/>
      <c r="G4" s="67"/>
      <c r="H4" s="67"/>
      <c r="I4" s="67"/>
      <c r="J4" s="67"/>
      <c r="K4" s="67"/>
    </row>
    <row r="5" ht="13.8" customHeight="1" spans="1:11" x14ac:dyDescent="0.25">
      <c r="A5" s="69"/>
      <c r="B5" s="69"/>
      <c r="C5" s="70" t="s">
        <v>274</v>
      </c>
      <c r="D5" s="71"/>
      <c r="E5" s="71"/>
      <c r="F5" s="70"/>
      <c r="G5" s="71"/>
      <c r="H5" s="72"/>
      <c r="I5" s="72"/>
      <c r="J5" s="73">
        <f>+EESP!F9</f>
        <v>46234</v>
      </c>
      <c r="K5" s="74">
        <f>+EESP!G9</f>
        <v>0</v>
      </c>
    </row>
    <row r="6" spans="1:11" x14ac:dyDescent="0.25">
      <c r="A6" s="75"/>
      <c r="B6" s="75" t="s">
        <v>275</v>
      </c>
      <c r="C6" s="76" t="s">
        <v>276</v>
      </c>
      <c r="D6" s="77"/>
      <c r="E6" s="78"/>
      <c r="F6" s="79" t="s">
        <v>277</v>
      </c>
      <c r="G6" s="80" t="s">
        <v>278</v>
      </c>
      <c r="H6" s="78"/>
      <c r="I6" s="81" t="s">
        <v>119</v>
      </c>
      <c r="J6" s="82" t="s">
        <v>279</v>
      </c>
      <c r="K6" s="83" t="s">
        <v>279</v>
      </c>
    </row>
    <row r="7" spans="1:11" x14ac:dyDescent="0.25">
      <c r="A7" s="75"/>
      <c r="B7" s="75"/>
      <c r="C7" s="84" t="s">
        <v>280</v>
      </c>
      <c r="D7" s="84" t="s">
        <v>281</v>
      </c>
      <c r="E7" s="84" t="s">
        <v>282</v>
      </c>
      <c r="F7" s="76" t="s">
        <v>283</v>
      </c>
      <c r="G7" s="84" t="s">
        <v>284</v>
      </c>
      <c r="H7" s="81" t="s">
        <v>285</v>
      </c>
      <c r="I7" s="81" t="s">
        <v>286</v>
      </c>
      <c r="J7" s="82" t="s">
        <v>287</v>
      </c>
      <c r="K7" s="83" t="s">
        <v>287</v>
      </c>
    </row>
    <row r="8" spans="1:11" x14ac:dyDescent="0.25">
      <c r="A8" s="75"/>
      <c r="B8" s="75"/>
      <c r="C8" s="81"/>
      <c r="D8" s="81" t="s">
        <v>288</v>
      </c>
      <c r="E8" s="81" t="s">
        <v>280</v>
      </c>
      <c r="F8" s="76" t="s">
        <v>289</v>
      </c>
      <c r="G8" s="81" t="s">
        <v>290</v>
      </c>
      <c r="H8" s="81" t="s">
        <v>291</v>
      </c>
      <c r="I8" s="81" t="s">
        <v>292</v>
      </c>
      <c r="J8" s="82" t="s">
        <v>293</v>
      </c>
      <c r="K8" s="83" t="s">
        <v>293</v>
      </c>
    </row>
    <row r="9" spans="1:11" x14ac:dyDescent="0.25">
      <c r="A9" s="85"/>
      <c r="B9" s="85"/>
      <c r="C9" s="86" t="s">
        <v>294</v>
      </c>
      <c r="D9" s="86" t="s">
        <v>294</v>
      </c>
      <c r="E9" s="86" t="s">
        <v>294</v>
      </c>
      <c r="F9" s="79" t="s">
        <v>294</v>
      </c>
      <c r="G9" s="86" t="s">
        <v>294</v>
      </c>
      <c r="H9" s="86"/>
      <c r="I9" s="86" t="s">
        <v>294</v>
      </c>
      <c r="J9" s="87" t="s">
        <v>294</v>
      </c>
      <c r="K9" s="88" t="s">
        <v>294</v>
      </c>
    </row>
    <row r="10" spans="1:11" x14ac:dyDescent="0.25">
      <c r="A10" s="89"/>
      <c r="B10" s="89"/>
      <c r="C10" s="90"/>
      <c r="D10" s="90"/>
      <c r="E10" s="90"/>
      <c r="F10" s="90"/>
      <c r="G10" s="90"/>
      <c r="H10" s="91"/>
      <c r="I10" s="91"/>
      <c r="J10" s="92"/>
      <c r="K10" s="93"/>
    </row>
    <row r="11" spans="1:11" x14ac:dyDescent="0.25">
      <c r="A11" s="89" t="s">
        <v>295</v>
      </c>
      <c r="B11" s="89" t="s">
        <v>296</v>
      </c>
      <c r="C11" s="94">
        <v>0</v>
      </c>
      <c r="D11" s="94">
        <v>0</v>
      </c>
      <c r="E11" s="94">
        <f>+C11+D11</f>
        <v>0</v>
      </c>
      <c r="F11" s="94">
        <v>0</v>
      </c>
      <c r="G11" s="94">
        <v>0</v>
      </c>
      <c r="H11" s="94">
        <v>0</v>
      </c>
      <c r="I11" s="94">
        <f>-SALDOS!D126</f>
        <v>0</v>
      </c>
      <c r="J11" s="95">
        <f>+E11+F11+G11+I11</f>
        <v>0</v>
      </c>
      <c r="K11" s="96"/>
    </row>
    <row r="12" spans="1:11" x14ac:dyDescent="0.25">
      <c r="A12" s="89"/>
      <c r="B12" s="89"/>
      <c r="C12" s="94"/>
      <c r="D12" s="94"/>
      <c r="E12" s="94"/>
      <c r="F12" s="94"/>
      <c r="G12" s="94"/>
      <c r="H12" s="94"/>
      <c r="I12" s="94"/>
      <c r="J12" s="95"/>
      <c r="K12" s="96"/>
    </row>
    <row r="13" ht="13.8" customHeight="1" spans="1:11" x14ac:dyDescent="0.25">
      <c r="A13" s="89"/>
      <c r="B13" s="89"/>
      <c r="C13" s="97">
        <f>SUM(C11:C11)</f>
        <v>0</v>
      </c>
      <c r="D13" s="97">
        <f>SUM(D11:D11)</f>
        <v>0</v>
      </c>
      <c r="E13" s="97">
        <f>SUM(E11:E11)</f>
        <v>0</v>
      </c>
      <c r="F13" s="97">
        <f>SUM(F11:F11)</f>
        <v>0</v>
      </c>
      <c r="G13" s="97">
        <f>SUM(G11:G11)</f>
        <v>0</v>
      </c>
      <c r="H13" s="97">
        <f>SUM(H11:H11)</f>
        <v>0</v>
      </c>
      <c r="I13" s="97">
        <f>SUM(I11:I12)</f>
        <v>0</v>
      </c>
      <c r="J13" s="98">
        <f>SUM(J11:J12)</f>
        <v>0</v>
      </c>
      <c r="K13" s="99">
        <f>SUM(K11:K11)</f>
        <v>0</v>
      </c>
    </row>
    <row r="14" ht="13.8" customHeight="1" spans="1:11" x14ac:dyDescent="0.25">
      <c r="A14" s="89"/>
      <c r="B14" s="89"/>
      <c r="C14" s="94"/>
      <c r="D14" s="94"/>
      <c r="E14" s="94"/>
      <c r="F14" s="94"/>
      <c r="G14" s="94"/>
      <c r="H14" s="94"/>
      <c r="I14" s="94"/>
      <c r="J14" s="95"/>
      <c r="K14" s="96"/>
    </row>
    <row r="15" hidden="1" spans="1:11" x14ac:dyDescent="0.25">
      <c r="A15" s="89"/>
      <c r="B15" s="100" t="s">
        <v>297</v>
      </c>
      <c r="C15" s="94"/>
      <c r="D15" s="94"/>
      <c r="E15" s="94"/>
      <c r="F15" s="94"/>
      <c r="G15" s="94"/>
      <c r="H15" s="94"/>
      <c r="I15" s="94"/>
      <c r="J15" s="95"/>
      <c r="K15" s="96"/>
    </row>
    <row r="16" spans="1:11" x14ac:dyDescent="0.25">
      <c r="A16" s="89"/>
      <c r="B16" s="89" t="s">
        <v>298</v>
      </c>
      <c r="C16" s="94" t="s">
        <v>14</v>
      </c>
      <c r="D16" s="94"/>
      <c r="E16" s="94"/>
      <c r="F16" s="94"/>
      <c r="G16" s="94"/>
      <c r="H16" s="94"/>
      <c r="I16" s="94">
        <f>EERR!C28</f>
        <v>-101620010.89</v>
      </c>
      <c r="J16" s="95">
        <f>+I16</f>
        <v>-101620010.89</v>
      </c>
      <c r="K16" s="96"/>
    </row>
    <row r="17" spans="1:11" x14ac:dyDescent="0.25">
      <c r="A17" s="89"/>
      <c r="B17" s="89"/>
      <c r="C17" s="94"/>
      <c r="D17" s="94"/>
      <c r="E17" s="94"/>
      <c r="F17" s="94"/>
      <c r="G17" s="94"/>
      <c r="H17" s="94"/>
      <c r="I17" s="94"/>
      <c r="J17" s="95"/>
      <c r="K17" s="96"/>
    </row>
    <row r="18" ht="13.8" customHeight="1" spans="1:11" x14ac:dyDescent="0.25">
      <c r="A18" s="101"/>
      <c r="B18" s="102" t="s">
        <v>299</v>
      </c>
      <c r="C18" s="97">
        <f>+C13</f>
        <v>0</v>
      </c>
      <c r="D18" s="97">
        <f>+D13</f>
        <v>0</v>
      </c>
      <c r="E18" s="97">
        <f>+E13</f>
        <v>0</v>
      </c>
      <c r="F18" s="97">
        <f>+F13</f>
        <v>0</v>
      </c>
      <c r="G18" s="97">
        <f>+G13</f>
        <v>0</v>
      </c>
      <c r="H18" s="97">
        <f>+H13</f>
        <v>0</v>
      </c>
      <c r="I18" s="97">
        <f>+I13+I16+I15</f>
        <v>-101620010.89</v>
      </c>
      <c r="J18" s="98">
        <f>+J13+J16+J15</f>
        <v>-101620010.89</v>
      </c>
      <c r="K18" s="103">
        <f>+K13+K16</f>
        <v>0</v>
      </c>
    </row>
    <row r="19" ht="13.8" customHeight="1" hidden="1" spans="1:11" x14ac:dyDescent="0.25">
      <c r="A19" s="101"/>
      <c r="B19" s="104" t="s">
        <v>300</v>
      </c>
      <c r="C19" s="105"/>
      <c r="D19" s="105"/>
      <c r="E19" s="105">
        <f>+C19+D19</f>
        <v>0</v>
      </c>
      <c r="F19" s="106"/>
      <c r="G19" s="106">
        <v>0</v>
      </c>
      <c r="H19" s="106"/>
      <c r="I19" s="105">
        <v>0</v>
      </c>
      <c r="J19" s="107">
        <f>+E19</f>
        <v>0</v>
      </c>
      <c r="K19" s="108">
        <f>+G19</f>
        <v>0</v>
      </c>
    </row>
    <row r="20" ht="13.8" customHeight="1" spans="1:11" x14ac:dyDescent="0.25">
      <c r="A20" s="67"/>
      <c r="B20" s="67"/>
      <c r="C20" s="67"/>
      <c r="D20" s="67"/>
      <c r="E20" s="67"/>
      <c r="F20" s="67"/>
      <c r="G20" s="67"/>
      <c r="H20" s="67"/>
      <c r="I20" s="109"/>
      <c r="J20" s="67"/>
      <c r="K20" s="67"/>
    </row>
    <row r="21" spans="1:11" x14ac:dyDescent="0.25">
      <c r="A21" s="67"/>
      <c r="B21" s="67" t="s">
        <v>301</v>
      </c>
      <c r="C21" s="67"/>
      <c r="D21" s="67"/>
      <c r="E21" s="67"/>
      <c r="F21" s="67"/>
      <c r="G21" s="67"/>
      <c r="H21" s="109"/>
      <c r="I21" s="110"/>
      <c r="J21" s="67"/>
      <c r="K21" s="111"/>
    </row>
    <row r="22" spans="1:11" x14ac:dyDescent="0.25">
      <c r="A22" s="67"/>
      <c r="B22" s="67" t="s">
        <v>302</v>
      </c>
      <c r="C22" s="67"/>
      <c r="D22" s="67"/>
      <c r="E22" s="112"/>
      <c r="F22" s="67"/>
      <c r="G22" s="67"/>
      <c r="H22" s="67"/>
      <c r="I22" s="67"/>
      <c r="J22" s="67"/>
      <c r="K22" s="67"/>
    </row>
    <row r="23" spans="1:11" x14ac:dyDescent="0.25">
      <c r="A23" s="67"/>
      <c r="B23" s="67"/>
      <c r="C23" s="67"/>
      <c r="D23" s="67"/>
      <c r="E23" s="67"/>
      <c r="F23" s="67"/>
      <c r="G23" s="67"/>
      <c r="H23" s="67"/>
      <c r="I23" s="111"/>
      <c r="J23" s="67"/>
      <c r="K23" s="67"/>
    </row>
    <row r="24" spans="1:11" x14ac:dyDescent="0.25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</row>
    <row r="25" spans="1:11" x14ac:dyDescent="0.25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</row>
    <row r="26" spans="1:11" x14ac:dyDescent="0.25">
      <c r="A26" s="67"/>
      <c r="B26" s="67"/>
      <c r="C26" s="67"/>
      <c r="D26" s="67"/>
      <c r="E26" s="111"/>
      <c r="F26" s="67"/>
      <c r="G26" s="67"/>
      <c r="H26" s="67"/>
      <c r="I26" s="67"/>
      <c r="J26" s="67"/>
      <c r="K26" s="67"/>
    </row>
    <row r="27" spans="1:11" x14ac:dyDescent="0.25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</row>
    <row r="28" spans="1:11" x14ac:dyDescent="0.25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</row>
    <row r="29" spans="1:11" x14ac:dyDescent="0.25">
      <c r="A29" s="67"/>
      <c r="B29" s="67"/>
      <c r="C29" s="77"/>
      <c r="D29" s="77"/>
      <c r="E29" s="67"/>
      <c r="F29" s="67"/>
      <c r="G29" s="67"/>
      <c r="H29" s="67"/>
      <c r="I29" s="77"/>
      <c r="J29" s="67"/>
      <c r="K29" s="67"/>
    </row>
    <row r="30" spans="1:11" x14ac:dyDescent="0.25">
      <c r="A30" s="67"/>
      <c r="B30" s="67"/>
      <c r="C30" s="77"/>
      <c r="D30" s="77"/>
      <c r="E30" s="67"/>
      <c r="F30" s="67"/>
      <c r="G30" s="67"/>
      <c r="H30" s="67"/>
      <c r="I30" s="77"/>
      <c r="J30" s="67"/>
      <c r="K30" s="67"/>
    </row>
    <row r="31" spans="1:11" x14ac:dyDescent="0.25">
      <c r="A31" s="67"/>
      <c r="B31" s="67"/>
      <c r="C31" s="77"/>
      <c r="D31" s="77"/>
      <c r="E31" s="67"/>
      <c r="F31" s="67"/>
      <c r="G31" s="67"/>
      <c r="H31" s="67"/>
      <c r="I31" s="77"/>
      <c r="J31" s="67"/>
      <c r="K31" s="67"/>
    </row>
  </sheetData>
  <mergeCells count="3">
    <mergeCell ref="A1:J1"/>
    <mergeCell ref="B2:J2"/>
    <mergeCell ref="A3:J3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2"/>
  <sheetViews>
    <sheetView workbookViewId="0" zoomScale="100" zoomScaleNormal="100">
      <selection activeCell="F7" sqref="F7"/>
    </sheetView>
  </sheetViews>
  <sheetFormatPr defaultRowHeight="0" outlineLevelRow="0" outlineLevelCol="0" x14ac:dyDescent="0" customHeight="1"/>
  <cols>
    <col min="1" max="1" width="2.88671875" customWidth="1"/>
    <col min="2" max="2" width="3.33203125" customWidth="1"/>
    <col min="3" max="3" width="2.5546875" customWidth="1"/>
    <col min="4" max="4" width="11.33203125" customWidth="1"/>
    <col min="5" max="5" width="15" customWidth="1"/>
    <col min="6" max="6" width="12.5546875" customWidth="1"/>
    <col min="7" max="7" width="2.33203125" customWidth="1"/>
    <col min="8" max="8" width="12.5546875" hidden="1" customWidth="1"/>
    <col min="9" max="9" width="13.6640625" customWidth="1"/>
    <col min="10" max="10" width="12" customWidth="1"/>
    <col min="11" max="257" width="11.33203125" customWidth="1"/>
  </cols>
  <sheetData>
    <row r="1" ht="15.6" customHeight="1" spans="1:10" x14ac:dyDescent="0.25">
      <c r="A1" s="67"/>
      <c r="B1" s="113" t="s">
        <v>303</v>
      </c>
      <c r="C1" s="113"/>
      <c r="D1" s="67"/>
      <c r="E1" s="113" t="s">
        <v>304</v>
      </c>
      <c r="F1" s="67"/>
      <c r="G1" s="67"/>
      <c r="H1" s="67"/>
      <c r="I1" s="67"/>
      <c r="J1" s="67"/>
    </row>
    <row r="2" spans="1:10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</row>
    <row r="3" spans="1:10" x14ac:dyDescent="0.25">
      <c r="A3" s="67"/>
      <c r="B3" s="67" t="s">
        <v>305</v>
      </c>
      <c r="C3" s="67"/>
      <c r="D3" s="67"/>
      <c r="E3" s="67"/>
      <c r="F3" s="67"/>
      <c r="G3" s="67"/>
      <c r="H3" s="67"/>
      <c r="I3" s="67"/>
      <c r="J3" s="67"/>
    </row>
    <row r="4" spans="1:10" x14ac:dyDescent="0.25">
      <c r="A4" s="67"/>
      <c r="B4" s="67"/>
      <c r="C4" s="67"/>
      <c r="D4" s="67"/>
      <c r="E4" s="67"/>
      <c r="F4" s="67"/>
      <c r="G4" s="67"/>
      <c r="H4" s="67"/>
      <c r="I4" s="67"/>
      <c r="J4" s="67"/>
    </row>
    <row r="5" spans="1:10" x14ac:dyDescent="0.25">
      <c r="A5" s="67"/>
      <c r="B5" s="67"/>
      <c r="C5" s="67"/>
      <c r="D5" s="67"/>
      <c r="E5" s="67"/>
      <c r="F5" s="67"/>
      <c r="G5" s="67"/>
      <c r="H5" s="67"/>
      <c r="I5" s="67"/>
      <c r="J5" s="67"/>
    </row>
    <row r="6" spans="1:10" x14ac:dyDescent="0.25">
      <c r="A6" s="67"/>
      <c r="B6" s="114"/>
      <c r="C6" s="114"/>
      <c r="D6" s="114"/>
      <c r="E6" s="114"/>
      <c r="F6" s="115">
        <f>+EESP!F9</f>
        <v>46234</v>
      </c>
      <c r="G6" s="116"/>
      <c r="H6" s="117">
        <v>38717</v>
      </c>
      <c r="I6" s="67"/>
      <c r="J6" s="67"/>
    </row>
    <row r="7" spans="1:10" x14ac:dyDescent="0.25">
      <c r="A7" s="67"/>
      <c r="B7" s="118" t="s">
        <v>306</v>
      </c>
      <c r="C7" s="114"/>
      <c r="D7" s="114"/>
      <c r="E7" s="114"/>
      <c r="F7" s="114"/>
      <c r="G7" s="67"/>
      <c r="H7" s="67"/>
      <c r="I7" s="67"/>
      <c r="J7" s="67"/>
    </row>
    <row r="8" spans="1:10" x14ac:dyDescent="0.25">
      <c r="A8" s="67"/>
      <c r="B8" s="118" t="s">
        <v>307</v>
      </c>
      <c r="C8" s="114"/>
      <c r="D8" s="114"/>
      <c r="E8" s="114"/>
      <c r="F8" s="114"/>
      <c r="G8" s="67"/>
      <c r="H8" s="67"/>
      <c r="I8" s="67"/>
      <c r="J8" s="67"/>
    </row>
    <row r="9" spans="1:10" x14ac:dyDescent="0.25">
      <c r="A9" s="67"/>
      <c r="B9" s="114" t="s">
        <v>308</v>
      </c>
      <c r="C9" s="119" t="s">
        <v>309</v>
      </c>
      <c r="D9" s="114"/>
      <c r="E9" s="114"/>
      <c r="F9" s="114"/>
      <c r="G9" s="67"/>
      <c r="H9" s="67"/>
      <c r="I9" s="67"/>
      <c r="J9" s="67"/>
    </row>
    <row r="10" spans="1:10" x14ac:dyDescent="0.25">
      <c r="A10" s="67"/>
      <c r="B10" s="114"/>
      <c r="C10" s="119"/>
      <c r="D10" s="114" t="s">
        <v>310</v>
      </c>
      <c r="E10" s="114"/>
      <c r="F10" s="120"/>
      <c r="G10" s="67"/>
      <c r="H10" s="67"/>
      <c r="I10" s="67"/>
      <c r="J10" s="67"/>
    </row>
    <row r="11" spans="1:10" x14ac:dyDescent="0.25">
      <c r="A11" s="67"/>
      <c r="B11" s="114"/>
      <c r="C11" s="114"/>
      <c r="D11" s="114" t="s">
        <v>311</v>
      </c>
      <c r="E11" s="114"/>
      <c r="F11" s="120"/>
      <c r="G11" s="109"/>
      <c r="H11" s="67"/>
      <c r="I11" s="67"/>
      <c r="J11" s="67"/>
    </row>
    <row r="12" spans="1:10" x14ac:dyDescent="0.25">
      <c r="A12" s="67"/>
      <c r="B12" s="114"/>
      <c r="C12" s="114"/>
      <c r="D12" s="114" t="s">
        <v>312</v>
      </c>
      <c r="E12" s="114"/>
      <c r="F12" s="121">
        <f>-SALDOS!C7+SALDOS!B7</f>
        <v>-265310.63</v>
      </c>
      <c r="G12" s="109"/>
      <c r="H12" s="67"/>
      <c r="I12" s="67"/>
      <c r="J12" s="67"/>
    </row>
    <row r="13" spans="1:10" x14ac:dyDescent="0.25">
      <c r="A13" s="67"/>
      <c r="B13" s="114"/>
      <c r="C13" s="114"/>
      <c r="D13" s="114" t="s">
        <v>313</v>
      </c>
      <c r="E13" s="114"/>
      <c r="F13" s="121">
        <f>-SALDOS!C9+SALDOS!B9</f>
        <v>-25116049.8</v>
      </c>
      <c r="G13" s="109"/>
      <c r="H13" s="67"/>
      <c r="I13" s="67"/>
      <c r="J13" s="67"/>
    </row>
    <row r="14" hidden="1" spans="1:10" x14ac:dyDescent="0.25">
      <c r="A14" s="67"/>
      <c r="B14" s="114"/>
      <c r="C14" s="114"/>
      <c r="D14" s="114" t="s">
        <v>314</v>
      </c>
      <c r="E14" s="114"/>
      <c r="F14" s="120"/>
      <c r="G14" s="109"/>
      <c r="H14" s="67"/>
      <c r="I14" s="67"/>
      <c r="J14" s="67"/>
    </row>
    <row r="15" hidden="1" spans="1:10" x14ac:dyDescent="0.25">
      <c r="A15" s="67"/>
      <c r="B15" s="114"/>
      <c r="C15" s="114"/>
      <c r="D15" s="114" t="s">
        <v>315</v>
      </c>
      <c r="E15" s="114"/>
      <c r="F15" s="120"/>
      <c r="G15" s="109"/>
      <c r="H15" s="67"/>
      <c r="I15" s="67"/>
      <c r="J15" s="67"/>
    </row>
    <row r="16" hidden="1" spans="1:10" x14ac:dyDescent="0.25">
      <c r="A16" s="67"/>
      <c r="B16" s="114"/>
      <c r="C16" s="114"/>
      <c r="D16" s="114" t="s">
        <v>316</v>
      </c>
      <c r="E16" s="114"/>
      <c r="F16" s="120">
        <f>-SALDOS!C8+SALDOS!B8</f>
        <v>0</v>
      </c>
      <c r="G16" s="109"/>
      <c r="H16" s="67"/>
      <c r="I16" s="67"/>
      <c r="J16" s="67"/>
    </row>
    <row r="17" hidden="1" spans="1:10" x14ac:dyDescent="0.25">
      <c r="A17" s="67"/>
      <c r="B17" s="114"/>
      <c r="C17" s="114"/>
      <c r="D17" s="114" t="s">
        <v>317</v>
      </c>
      <c r="E17" s="114"/>
      <c r="F17" s="120">
        <f>+SALDOS!C10+SALDOS!B10</f>
        <v>0</v>
      </c>
      <c r="G17" s="109"/>
      <c r="H17" s="67"/>
      <c r="I17" s="67"/>
      <c r="J17" s="67"/>
    </row>
    <row r="18" hidden="1" spans="1:10" x14ac:dyDescent="0.25">
      <c r="A18" s="67"/>
      <c r="B18" s="114"/>
      <c r="C18" s="114"/>
      <c r="D18" s="114" t="s">
        <v>318</v>
      </c>
      <c r="E18" s="114"/>
      <c r="F18" s="120"/>
      <c r="G18" s="109"/>
      <c r="H18" s="67"/>
      <c r="I18" s="67"/>
      <c r="J18" s="67"/>
    </row>
    <row r="19" ht="13.8" customHeight="1" spans="1:10" x14ac:dyDescent="0.25">
      <c r="A19" s="67"/>
      <c r="B19" s="114"/>
      <c r="C19" s="114" t="s">
        <v>14</v>
      </c>
      <c r="D19" s="114"/>
      <c r="E19" s="114"/>
      <c r="F19" s="122">
        <f>SUM(F10:F18)</f>
        <v>-25381360.43</v>
      </c>
      <c r="G19" s="109"/>
      <c r="H19" s="109"/>
      <c r="I19" s="109"/>
      <c r="J19" s="67"/>
    </row>
    <row r="20" ht="13.8" customHeight="1" spans="1:10" x14ac:dyDescent="0.25">
      <c r="A20" s="67"/>
      <c r="B20" s="114"/>
      <c r="C20" s="114"/>
      <c r="D20" s="114"/>
      <c r="E20" s="114"/>
      <c r="F20" s="121"/>
      <c r="G20" s="109"/>
      <c r="H20" s="109"/>
      <c r="I20" s="109"/>
      <c r="J20" s="67"/>
    </row>
    <row r="21" spans="1:10" x14ac:dyDescent="0.25">
      <c r="A21" s="67"/>
      <c r="B21" s="114" t="s">
        <v>319</v>
      </c>
      <c r="C21" s="119" t="s">
        <v>320</v>
      </c>
      <c r="D21" s="114"/>
      <c r="E21" s="114"/>
      <c r="F21" s="121"/>
      <c r="G21" s="109"/>
      <c r="H21" s="109"/>
      <c r="I21" s="109"/>
      <c r="J21" s="109"/>
    </row>
    <row r="22" hidden="1" spans="1:10" x14ac:dyDescent="0.25">
      <c r="A22" s="67"/>
      <c r="B22" s="114"/>
      <c r="C22" s="119"/>
      <c r="D22" s="114" t="s">
        <v>321</v>
      </c>
      <c r="E22" s="114"/>
      <c r="F22" s="120">
        <f>-SALDOS!C30</f>
        <v>0</v>
      </c>
      <c r="G22" s="109"/>
      <c r="H22" s="109"/>
      <c r="I22" s="109"/>
      <c r="J22" s="109"/>
    </row>
    <row r="23" spans="1:10" x14ac:dyDescent="0.25">
      <c r="A23" s="67"/>
      <c r="B23" s="114"/>
      <c r="C23" s="119"/>
      <c r="D23" s="114" t="s">
        <v>322</v>
      </c>
      <c r="E23" s="114"/>
      <c r="F23" s="121">
        <f>-SALDOS!C29+SALDOS!B29</f>
        <v>-20812690.56</v>
      </c>
      <c r="G23" s="109"/>
      <c r="H23" s="109"/>
      <c r="I23" s="109"/>
      <c r="J23" s="109"/>
    </row>
    <row r="24" hidden="1" spans="1:10" x14ac:dyDescent="0.25">
      <c r="A24" s="67"/>
      <c r="B24" s="114"/>
      <c r="C24" s="119"/>
      <c r="D24" s="114" t="s">
        <v>323</v>
      </c>
      <c r="E24" s="114"/>
      <c r="F24" s="120">
        <f>+SALDOS!B31</f>
        <v>0</v>
      </c>
      <c r="G24" s="109"/>
      <c r="H24" s="109"/>
      <c r="I24" s="109"/>
      <c r="J24" s="109"/>
    </row>
    <row r="25" ht="13.8" customHeight="1" spans="1:10" x14ac:dyDescent="0.25">
      <c r="A25" s="67"/>
      <c r="B25" s="114"/>
      <c r="C25" s="114"/>
      <c r="D25" s="114"/>
      <c r="E25" s="114"/>
      <c r="F25" s="122">
        <f>SUM(F22:F24)</f>
        <v>-20812690.56</v>
      </c>
      <c r="G25" s="109"/>
      <c r="H25" s="109"/>
      <c r="I25" s="109"/>
      <c r="J25" s="67"/>
    </row>
    <row r="26" ht="13.8" customHeight="1" spans="1:10" x14ac:dyDescent="0.25">
      <c r="A26" s="67"/>
      <c r="B26" s="114"/>
      <c r="C26" s="114"/>
      <c r="D26" s="114"/>
      <c r="E26" s="114"/>
      <c r="F26" s="121"/>
      <c r="G26" s="109"/>
      <c r="H26" s="67"/>
      <c r="I26" s="109"/>
      <c r="J26" s="109"/>
    </row>
    <row r="27" spans="1:10" x14ac:dyDescent="0.25">
      <c r="A27" s="67"/>
      <c r="B27" s="114" t="s">
        <v>324</v>
      </c>
      <c r="C27" s="119" t="s">
        <v>325</v>
      </c>
      <c r="D27" s="114"/>
      <c r="E27" s="114"/>
      <c r="F27" s="121"/>
      <c r="G27" s="67"/>
      <c r="H27" s="67"/>
      <c r="I27" s="67"/>
      <c r="J27" s="67"/>
    </row>
    <row r="28" spans="1:10" x14ac:dyDescent="0.25">
      <c r="A28" s="67"/>
      <c r="B28" s="114"/>
      <c r="C28" s="114"/>
      <c r="D28" s="114" t="s">
        <v>326</v>
      </c>
      <c r="E28" s="114"/>
      <c r="F28" s="121">
        <f>+SALDOS!D11+SALDOS!D14+SALDOS!D15+SALDOS!D17+SALDOS!D16</f>
        <v>-636618.95</v>
      </c>
      <c r="G28" s="109"/>
      <c r="H28" s="67"/>
      <c r="I28" s="67"/>
      <c r="J28" s="67"/>
    </row>
    <row r="29" ht="13.8" customHeight="1" spans="1:10" x14ac:dyDescent="0.25">
      <c r="A29" s="67"/>
      <c r="B29" s="114"/>
      <c r="C29" s="114" t="s">
        <v>14</v>
      </c>
      <c r="D29" s="114"/>
      <c r="E29" s="114"/>
      <c r="F29" s="122">
        <f>SUM(F28:F28)</f>
        <v>-636618.95</v>
      </c>
      <c r="G29" s="109"/>
      <c r="H29" s="67"/>
      <c r="I29" s="67"/>
      <c r="J29" s="109"/>
    </row>
    <row r="30" ht="13.8" customHeight="1" spans="1:10" x14ac:dyDescent="0.25">
      <c r="A30" s="67"/>
      <c r="B30" s="114"/>
      <c r="C30" s="114"/>
      <c r="D30" s="114"/>
      <c r="E30" s="114"/>
      <c r="F30" s="121"/>
      <c r="G30" s="109"/>
      <c r="H30" s="67"/>
      <c r="I30" s="67"/>
      <c r="J30" s="67"/>
    </row>
    <row r="31" hidden="1" spans="1:10" x14ac:dyDescent="0.25">
      <c r="A31" s="67"/>
      <c r="B31" s="114"/>
      <c r="C31" s="119" t="s">
        <v>327</v>
      </c>
      <c r="D31" s="114"/>
      <c r="E31" s="114"/>
      <c r="F31" s="121"/>
      <c r="G31" s="67"/>
      <c r="H31" s="67"/>
      <c r="I31" s="67"/>
      <c r="J31" s="109"/>
    </row>
    <row r="32" hidden="1" spans="1:10" x14ac:dyDescent="0.25">
      <c r="A32" s="67"/>
      <c r="B32" s="114"/>
      <c r="C32" s="119"/>
      <c r="D32" s="114" t="s">
        <v>328</v>
      </c>
      <c r="E32" s="114"/>
      <c r="F32" s="121">
        <v>0</v>
      </c>
      <c r="G32" s="67"/>
      <c r="H32" s="67"/>
      <c r="I32" s="67"/>
      <c r="J32" s="67"/>
    </row>
    <row r="33" hidden="1" spans="1:10" x14ac:dyDescent="0.25">
      <c r="A33" s="67"/>
      <c r="B33" s="114"/>
      <c r="C33" s="114"/>
      <c r="D33" s="114" t="s">
        <v>329</v>
      </c>
      <c r="E33" s="114"/>
      <c r="F33" s="120">
        <v>0</v>
      </c>
      <c r="G33" s="109"/>
      <c r="H33" s="67"/>
      <c r="I33" s="67"/>
      <c r="J33" s="67"/>
    </row>
    <row r="34" hidden="1" spans="1:10" x14ac:dyDescent="0.25">
      <c r="A34" s="67"/>
      <c r="B34" s="114"/>
      <c r="C34" s="114"/>
      <c r="D34" s="114" t="s">
        <v>330</v>
      </c>
      <c r="E34" s="114"/>
      <c r="F34" s="120">
        <v>0</v>
      </c>
      <c r="G34" s="109"/>
      <c r="H34" s="67"/>
      <c r="I34" s="67"/>
      <c r="J34" s="67"/>
    </row>
    <row r="35" hidden="1" spans="1:10" x14ac:dyDescent="0.25">
      <c r="A35" s="67"/>
      <c r="B35" s="114"/>
      <c r="C35" s="114"/>
      <c r="D35" s="114" t="s">
        <v>331</v>
      </c>
      <c r="E35" s="114"/>
      <c r="F35" s="120">
        <v>0</v>
      </c>
      <c r="G35" s="109"/>
      <c r="H35" s="67"/>
      <c r="I35" s="67"/>
      <c r="J35" s="67"/>
    </row>
    <row r="36" hidden="1" spans="1:10" x14ac:dyDescent="0.25">
      <c r="A36" s="67"/>
      <c r="B36" s="114"/>
      <c r="C36" s="114"/>
      <c r="D36" s="114" t="s">
        <v>332</v>
      </c>
      <c r="E36" s="114"/>
      <c r="F36" s="120">
        <v>0</v>
      </c>
      <c r="G36" s="109"/>
      <c r="H36" s="67"/>
      <c r="I36" s="67"/>
      <c r="J36" s="67"/>
    </row>
    <row r="37" ht="13.8" customHeight="1" hidden="1" spans="1:10" x14ac:dyDescent="0.25">
      <c r="A37" s="67"/>
      <c r="B37" s="114"/>
      <c r="C37" s="114" t="s">
        <v>14</v>
      </c>
      <c r="D37" s="114"/>
      <c r="E37" s="114"/>
      <c r="F37" s="122">
        <f>SUM(F32:F36)</f>
        <v>0</v>
      </c>
      <c r="G37" s="109"/>
      <c r="H37" s="67"/>
      <c r="I37" s="67"/>
      <c r="J37" s="67"/>
    </row>
    <row r="38" ht="13.8" customHeight="1" spans="1:10" x14ac:dyDescent="0.25">
      <c r="A38" s="67"/>
      <c r="B38" s="114"/>
      <c r="C38" s="114"/>
      <c r="D38" s="114"/>
      <c r="E38" s="114"/>
      <c r="F38" s="121"/>
      <c r="G38" s="109"/>
      <c r="H38" s="67"/>
      <c r="I38" s="67"/>
      <c r="J38" s="67"/>
    </row>
    <row r="39" spans="1:10" x14ac:dyDescent="0.25">
      <c r="A39" s="67"/>
      <c r="B39" s="114" t="s">
        <v>333</v>
      </c>
      <c r="C39" s="119" t="s">
        <v>334</v>
      </c>
      <c r="D39" s="114"/>
      <c r="E39" s="114"/>
      <c r="F39" s="121"/>
      <c r="G39" s="67"/>
      <c r="H39" s="67"/>
      <c r="I39" s="67"/>
      <c r="J39" s="67"/>
    </row>
    <row r="40" hidden="1" spans="1:10" x14ac:dyDescent="0.25">
      <c r="A40" s="67"/>
      <c r="B40" s="114"/>
      <c r="C40" s="119"/>
      <c r="D40" s="114" t="s">
        <v>335</v>
      </c>
      <c r="E40" s="114"/>
      <c r="F40" s="120"/>
      <c r="G40" s="109"/>
      <c r="H40" s="67"/>
      <c r="I40" s="67"/>
      <c r="J40" s="67"/>
    </row>
    <row r="41" hidden="1" spans="1:10" x14ac:dyDescent="0.25">
      <c r="A41" s="67"/>
      <c r="B41" s="114"/>
      <c r="C41" s="119"/>
      <c r="D41" s="114" t="s">
        <v>336</v>
      </c>
      <c r="E41" s="114"/>
      <c r="F41" s="120"/>
      <c r="G41" s="109"/>
      <c r="H41" s="67"/>
      <c r="I41" s="67"/>
      <c r="J41" s="67"/>
    </row>
    <row r="42" hidden="1" spans="1:10" x14ac:dyDescent="0.25">
      <c r="A42" s="67"/>
      <c r="B42" s="114"/>
      <c r="C42" s="114"/>
      <c r="D42" s="114" t="s">
        <v>337</v>
      </c>
      <c r="E42" s="114"/>
      <c r="F42" s="120"/>
      <c r="G42" s="109"/>
      <c r="H42" s="67"/>
      <c r="I42" s="67"/>
      <c r="J42" s="67"/>
    </row>
    <row r="43" hidden="1" spans="1:10" x14ac:dyDescent="0.25">
      <c r="A43" s="67"/>
      <c r="B43" s="114"/>
      <c r="C43" s="114"/>
      <c r="D43" s="114" t="s">
        <v>338</v>
      </c>
      <c r="E43" s="114"/>
      <c r="F43" s="120"/>
      <c r="G43" s="109"/>
      <c r="H43" s="67"/>
      <c r="I43" s="67"/>
      <c r="J43" s="67"/>
    </row>
    <row r="44" spans="1:10" x14ac:dyDescent="0.25">
      <c r="A44" s="67"/>
      <c r="B44" s="114"/>
      <c r="C44" s="114"/>
      <c r="D44" s="114" t="s">
        <v>339</v>
      </c>
      <c r="E44" s="114"/>
      <c r="F44" s="121">
        <f>+SALDOS!B18-SALDOS!C18</f>
        <v>4122436.2800000003</v>
      </c>
      <c r="G44" s="109"/>
      <c r="H44" s="67"/>
      <c r="I44" s="67"/>
      <c r="J44" s="67"/>
    </row>
    <row r="45" hidden="1" spans="1:10" x14ac:dyDescent="0.25">
      <c r="A45" s="67"/>
      <c r="B45" s="114"/>
      <c r="C45" s="114"/>
      <c r="D45" s="114" t="s">
        <v>340</v>
      </c>
      <c r="E45" s="114"/>
      <c r="F45" s="120"/>
      <c r="G45" s="109"/>
      <c r="H45" s="67"/>
      <c r="I45" s="67"/>
      <c r="J45" s="67"/>
    </row>
    <row r="46" hidden="1" spans="1:10" x14ac:dyDescent="0.25">
      <c r="A46" s="67"/>
      <c r="B46" s="114"/>
      <c r="C46" s="114"/>
      <c r="D46" s="114" t="s">
        <v>341</v>
      </c>
      <c r="E46" s="114"/>
      <c r="F46" s="121"/>
      <c r="G46" s="109"/>
      <c r="H46" s="67"/>
      <c r="I46" s="67"/>
      <c r="J46" s="67"/>
    </row>
    <row r="47" hidden="1" spans="1:10" x14ac:dyDescent="0.25">
      <c r="A47" s="67"/>
      <c r="B47" s="114"/>
      <c r="C47" s="114"/>
      <c r="D47" s="114" t="s">
        <v>342</v>
      </c>
      <c r="E47" s="114"/>
      <c r="F47" s="120"/>
      <c r="G47" s="109"/>
      <c r="H47" s="67"/>
      <c r="I47" s="67"/>
      <c r="J47" s="67"/>
    </row>
    <row r="48" hidden="1" spans="1:10" x14ac:dyDescent="0.25">
      <c r="A48" s="67"/>
      <c r="B48" s="114"/>
      <c r="C48" s="114"/>
      <c r="D48" s="114" t="s">
        <v>343</v>
      </c>
      <c r="E48" s="114"/>
      <c r="F48" s="120"/>
      <c r="G48" s="109"/>
      <c r="H48" s="67"/>
      <c r="I48" s="67"/>
      <c r="J48" s="67"/>
    </row>
    <row r="49" hidden="1" spans="1:10" x14ac:dyDescent="0.25">
      <c r="A49" s="67"/>
      <c r="B49" s="114"/>
      <c r="C49" s="114"/>
      <c r="D49" s="114" t="s">
        <v>344</v>
      </c>
      <c r="E49" s="114"/>
      <c r="F49" s="121">
        <f>+SALDOS!D25</f>
        <v>0</v>
      </c>
      <c r="G49" s="109"/>
      <c r="H49" s="67"/>
      <c r="I49" s="67"/>
      <c r="J49" s="67"/>
    </row>
    <row r="50" spans="1:10" x14ac:dyDescent="0.25">
      <c r="A50" s="67"/>
      <c r="B50" s="114"/>
      <c r="C50" s="114"/>
      <c r="D50" s="114" t="s">
        <v>345</v>
      </c>
      <c r="E50" s="114"/>
      <c r="F50" s="121">
        <f>-SALDOS!C26-SALDOS!C27-SALDOS!C28+SALDOS!B26+SALDOS!B27</f>
        <v>-8284435.48</v>
      </c>
      <c r="G50" s="109"/>
      <c r="H50" s="67"/>
      <c r="I50" s="67"/>
      <c r="J50" s="67"/>
    </row>
    <row r="51" hidden="1" spans="1:10" x14ac:dyDescent="0.25">
      <c r="A51" s="67"/>
      <c r="B51" s="114"/>
      <c r="C51" s="114"/>
      <c r="D51" s="114" t="s">
        <v>346</v>
      </c>
      <c r="E51" s="114"/>
      <c r="F51" s="120"/>
      <c r="G51" s="109"/>
      <c r="H51" s="67"/>
      <c r="I51" s="67"/>
      <c r="J51" s="67"/>
    </row>
    <row r="52" hidden="1" spans="1:10" x14ac:dyDescent="0.25">
      <c r="A52" s="67"/>
      <c r="B52" s="114"/>
      <c r="C52" s="114"/>
      <c r="D52" s="114" t="s">
        <v>347</v>
      </c>
      <c r="E52" s="114"/>
      <c r="F52" s="120">
        <f>-SALDOS!C23</f>
        <v>0</v>
      </c>
      <c r="G52" s="109"/>
      <c r="H52" s="67"/>
      <c r="I52" s="67"/>
      <c r="J52" s="67"/>
    </row>
    <row r="53" spans="1:10" x14ac:dyDescent="0.25">
      <c r="A53" s="67"/>
      <c r="B53" s="114"/>
      <c r="C53" s="114"/>
      <c r="D53" s="114" t="s">
        <v>348</v>
      </c>
      <c r="E53" s="114"/>
      <c r="F53" s="120">
        <f>-SALDOS!C19+SALDOS!B19</f>
        <v>1600000</v>
      </c>
      <c r="G53" s="109"/>
      <c r="H53" s="67"/>
      <c r="I53" s="67"/>
      <c r="J53" s="67"/>
    </row>
    <row r="54" spans="1:10" x14ac:dyDescent="0.25">
      <c r="A54" s="67"/>
      <c r="B54" s="114"/>
      <c r="C54" s="114"/>
      <c r="D54" s="114" t="s">
        <v>349</v>
      </c>
      <c r="E54" s="114"/>
      <c r="F54" s="120">
        <f>-SALDOS!C21</f>
        <v>-50000</v>
      </c>
      <c r="G54" s="109"/>
      <c r="H54" s="67"/>
      <c r="I54" s="67"/>
      <c r="J54" s="67"/>
    </row>
    <row r="55" hidden="1" spans="1:10" x14ac:dyDescent="0.25">
      <c r="A55" s="67"/>
      <c r="B55" s="114"/>
      <c r="C55" s="114"/>
      <c r="D55" s="114" t="s">
        <v>350</v>
      </c>
      <c r="E55" s="114"/>
      <c r="F55" s="120"/>
      <c r="G55" s="109"/>
      <c r="H55" s="67"/>
      <c r="I55" s="67"/>
      <c r="J55" s="67"/>
    </row>
    <row r="56" hidden="1" spans="1:10" x14ac:dyDescent="0.25">
      <c r="A56" s="67"/>
      <c r="B56" s="114"/>
      <c r="C56" s="114"/>
      <c r="D56" s="114" t="s">
        <v>351</v>
      </c>
      <c r="E56" s="114"/>
      <c r="F56" s="120"/>
      <c r="G56" s="109"/>
      <c r="H56" s="67"/>
      <c r="I56" s="67"/>
      <c r="J56" s="67"/>
    </row>
    <row r="57" hidden="1" spans="1:10" x14ac:dyDescent="0.25">
      <c r="A57" s="67"/>
      <c r="B57" s="114"/>
      <c r="C57" s="114"/>
      <c r="D57" s="114" t="s">
        <v>352</v>
      </c>
      <c r="E57" s="114"/>
      <c r="F57" s="120"/>
      <c r="G57" s="109"/>
      <c r="H57" s="67"/>
      <c r="I57" s="67"/>
      <c r="J57" s="67"/>
    </row>
    <row r="58" hidden="1" spans="1:10" x14ac:dyDescent="0.25">
      <c r="A58" s="67"/>
      <c r="B58" s="114"/>
      <c r="C58" s="114"/>
      <c r="D58" s="114" t="s">
        <v>353</v>
      </c>
      <c r="E58" s="114"/>
      <c r="F58" s="120"/>
      <c r="G58" s="109"/>
      <c r="H58" s="67"/>
      <c r="I58" s="67"/>
      <c r="J58" s="67"/>
    </row>
    <row r="59" hidden="1" spans="1:10" x14ac:dyDescent="0.25">
      <c r="A59" s="67"/>
      <c r="B59" s="114"/>
      <c r="C59" s="114"/>
      <c r="D59" s="114" t="s">
        <v>354</v>
      </c>
      <c r="E59" s="114"/>
      <c r="F59" s="120"/>
      <c r="G59" s="109"/>
      <c r="H59" s="67"/>
      <c r="I59" s="67"/>
      <c r="J59" s="67"/>
    </row>
    <row r="60" hidden="1" spans="1:10" x14ac:dyDescent="0.25">
      <c r="A60" s="67"/>
      <c r="B60" s="114"/>
      <c r="C60" s="114"/>
      <c r="D60" s="114" t="s">
        <v>355</v>
      </c>
      <c r="E60" s="114"/>
      <c r="F60" s="120"/>
      <c r="G60" s="109"/>
      <c r="H60" s="67"/>
      <c r="I60" s="67"/>
      <c r="J60" s="67"/>
    </row>
    <row r="61" spans="1:10" x14ac:dyDescent="0.25">
      <c r="A61" s="67"/>
      <c r="B61" s="114"/>
      <c r="C61" s="114"/>
      <c r="D61" s="114" t="s">
        <v>356</v>
      </c>
      <c r="E61" s="114"/>
      <c r="F61" s="120">
        <f>-SALDOS!C22+SALDOS!B22</f>
        <v>-200000</v>
      </c>
      <c r="G61" s="109"/>
      <c r="H61" s="67"/>
      <c r="I61" s="67"/>
      <c r="J61" s="67"/>
    </row>
    <row r="62" ht="13.8" customHeight="1" spans="1:10" x14ac:dyDescent="0.25">
      <c r="A62" s="67"/>
      <c r="B62" s="114"/>
      <c r="C62" s="114"/>
      <c r="D62" s="114"/>
      <c r="E62" s="114"/>
      <c r="F62" s="122">
        <f>SUM(F40:F61)</f>
        <v>-2811999.2</v>
      </c>
      <c r="G62" s="109"/>
      <c r="H62" s="109"/>
      <c r="I62" s="109"/>
      <c r="J62" s="109"/>
    </row>
    <row r="63" ht="13.8" customHeight="1" spans="1:10" x14ac:dyDescent="0.25">
      <c r="A63" s="67"/>
      <c r="B63" s="67"/>
      <c r="C63" s="67"/>
      <c r="D63" s="67"/>
      <c r="E63" s="67"/>
      <c r="F63" s="67"/>
      <c r="G63" s="67"/>
      <c r="H63" s="67"/>
      <c r="I63" s="67"/>
      <c r="J63" s="67"/>
    </row>
    <row r="64" spans="1:10" x14ac:dyDescent="0.25">
      <c r="A64" s="67"/>
      <c r="B64" s="67"/>
      <c r="C64" s="67"/>
      <c r="D64" s="67"/>
      <c r="E64" s="67"/>
      <c r="F64" s="67"/>
      <c r="G64" s="67"/>
      <c r="H64" s="67"/>
      <c r="I64" s="67"/>
      <c r="J64" s="67"/>
    </row>
    <row r="65" spans="1:10" x14ac:dyDescent="0.25">
      <c r="A65" s="67"/>
      <c r="B65" s="114"/>
      <c r="C65" s="114"/>
      <c r="D65" s="114"/>
      <c r="E65" s="114"/>
      <c r="F65" s="120"/>
      <c r="G65" s="109"/>
      <c r="H65" s="109"/>
      <c r="I65" s="109"/>
      <c r="J65" s="109"/>
    </row>
    <row r="66" spans="1:10" x14ac:dyDescent="0.25">
      <c r="A66" s="67"/>
      <c r="B66" s="114"/>
      <c r="C66" s="114"/>
      <c r="D66" s="114"/>
      <c r="E66" s="114"/>
      <c r="F66" s="120"/>
      <c r="G66" s="109"/>
      <c r="H66" s="109"/>
      <c r="I66" s="109"/>
      <c r="J66" s="109"/>
    </row>
    <row r="67" spans="1:10" x14ac:dyDescent="0.25">
      <c r="A67" s="67"/>
      <c r="B67" s="114"/>
      <c r="C67" s="114"/>
      <c r="D67" s="114"/>
      <c r="E67" s="114"/>
      <c r="F67" s="120"/>
      <c r="G67" s="109"/>
      <c r="H67" s="109"/>
      <c r="I67" s="109"/>
      <c r="J67" s="109"/>
    </row>
    <row r="68" spans="1:10" x14ac:dyDescent="0.25">
      <c r="A68" s="67"/>
      <c r="B68" s="67"/>
      <c r="C68" s="67"/>
      <c r="D68" s="67"/>
      <c r="E68" s="67"/>
      <c r="F68" s="109"/>
      <c r="G68" s="109"/>
      <c r="H68" s="67"/>
      <c r="I68" s="109"/>
      <c r="J68" s="67"/>
    </row>
    <row r="69" spans="1:10" x14ac:dyDescent="0.25">
      <c r="A69" s="67"/>
      <c r="B69" s="67" t="s">
        <v>301</v>
      </c>
      <c r="C69" s="67"/>
      <c r="D69" s="67"/>
      <c r="E69" s="67"/>
      <c r="F69" s="67"/>
      <c r="G69" s="67"/>
      <c r="H69" s="67"/>
      <c r="I69" s="67"/>
      <c r="J69" s="67"/>
    </row>
    <row r="70" spans="1:10" x14ac:dyDescent="0.25">
      <c r="A70" s="67"/>
      <c r="B70" s="67" t="s">
        <v>302</v>
      </c>
      <c r="C70" s="67"/>
      <c r="D70" s="67"/>
      <c r="E70" s="67"/>
      <c r="F70" s="67"/>
      <c r="G70" s="67"/>
      <c r="H70" s="67"/>
      <c r="I70" s="67"/>
      <c r="J70" s="67"/>
    </row>
    <row r="71" spans="1:10" x14ac:dyDescent="0.25">
      <c r="A71" s="67"/>
      <c r="B71" s="67"/>
      <c r="C71" s="67"/>
      <c r="D71" s="67"/>
      <c r="E71" s="67"/>
      <c r="F71" s="67"/>
      <c r="G71" s="67"/>
      <c r="H71" s="67"/>
      <c r="I71" s="67"/>
      <c r="J71" s="67"/>
    </row>
    <row r="72" spans="1:10" x14ac:dyDescent="0.25">
      <c r="A72" s="67"/>
      <c r="B72" s="67"/>
      <c r="C72" s="67"/>
      <c r="D72" s="67"/>
      <c r="E72" s="67"/>
      <c r="F72" s="109"/>
      <c r="G72" s="67"/>
      <c r="H72" s="67"/>
      <c r="I72" s="67"/>
      <c r="J72" s="67"/>
    </row>
  </sheetData>
  <pageMargins left="0.7480314960629921" right="0.7480314960629921" top="0.984251968503937" bottom="0.984251968503937" header="0" footer="0"/>
  <pageSetup paperSize="9"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selection activeCell="E29" sqref="E29"/>
    </sheetView>
  </sheetViews>
  <sheetFormatPr defaultRowHeight="0" outlineLevelRow="0" outlineLevelCol="0" x14ac:dyDescent="0" customHeight="1"/>
  <cols>
    <col min="1" max="1" width="3.5546875" customWidth="1"/>
    <col min="2" max="2" width="9.109375" customWidth="1"/>
    <col min="3" max="3" width="36.6640625" customWidth="1"/>
    <col min="4" max="4" width="4.109375" customWidth="1"/>
    <col min="5" max="5" width="13.88671875" customWidth="1"/>
    <col min="6" max="12" width="9" hidden="1" customWidth="1"/>
    <col min="13" max="13" width="9.109375" customWidth="1"/>
    <col min="14" max="14" width="11.6640625" customWidth="1"/>
    <col min="15" max="257" width="9.109375" customWidth="1"/>
  </cols>
  <sheetData>
    <row r="1" spans="1:14" x14ac:dyDescent="0.25">
      <c r="A1" s="114"/>
      <c r="B1" s="114"/>
      <c r="C1" s="114"/>
      <c r="D1" s="114"/>
      <c r="E1" s="123">
        <f>+Activo!F6</f>
        <v>46234</v>
      </c>
      <c r="F1" s="123"/>
      <c r="G1" s="124" t="s">
        <v>357</v>
      </c>
      <c r="H1" s="123"/>
      <c r="I1" s="124"/>
      <c r="J1" s="124"/>
      <c r="K1" s="124" t="s">
        <v>358</v>
      </c>
      <c r="L1" s="125">
        <f>+EESP!G9</f>
        <v>0</v>
      </c>
      <c r="M1" s="114"/>
      <c r="N1" s="114"/>
    </row>
    <row r="2" spans="1:14" x14ac:dyDescent="0.25">
      <c r="A2" s="118" t="s">
        <v>49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</row>
    <row r="3" spans="1:14" x14ac:dyDescent="0.25">
      <c r="A3" s="118" t="s">
        <v>359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</row>
    <row r="4" spans="1:14" x14ac:dyDescent="0.25">
      <c r="A4" s="114" t="s">
        <v>360</v>
      </c>
      <c r="B4" s="119" t="s">
        <v>361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</row>
    <row r="5" hidden="1" spans="1:14" x14ac:dyDescent="0.25">
      <c r="A5" s="114"/>
      <c r="B5" s="114"/>
      <c r="C5" s="114" t="s">
        <v>362</v>
      </c>
      <c r="D5" s="114"/>
      <c r="E5" s="120">
        <v>0</v>
      </c>
      <c r="F5" s="114"/>
      <c r="G5" s="114"/>
      <c r="H5" s="114"/>
      <c r="I5" s="114"/>
      <c r="J5" s="114"/>
      <c r="K5" s="114"/>
      <c r="L5" s="114"/>
      <c r="M5" s="114"/>
      <c r="N5" s="114"/>
    </row>
    <row r="6" hidden="1" spans="1:14" x14ac:dyDescent="0.25">
      <c r="A6" s="114"/>
      <c r="B6" s="114"/>
      <c r="C6" s="114" t="s">
        <v>363</v>
      </c>
      <c r="D6" s="114"/>
      <c r="E6" s="120">
        <v>0</v>
      </c>
      <c r="F6" s="114"/>
      <c r="G6" s="114"/>
      <c r="H6" s="114"/>
      <c r="I6" s="114"/>
      <c r="J6" s="114"/>
      <c r="K6" s="114"/>
      <c r="L6" s="114"/>
      <c r="M6" s="114"/>
      <c r="N6" s="114"/>
    </row>
    <row r="7" hidden="1" spans="1:14" x14ac:dyDescent="0.25">
      <c r="A7" s="114"/>
      <c r="B7" s="114"/>
      <c r="C7" s="114" t="s">
        <v>364</v>
      </c>
      <c r="D7" s="114"/>
      <c r="E7" s="120">
        <v>0</v>
      </c>
      <c r="F7" s="114"/>
      <c r="G7" s="114"/>
      <c r="H7" s="114"/>
      <c r="I7" s="114"/>
      <c r="J7" s="114"/>
      <c r="K7" s="114"/>
      <c r="L7" s="114"/>
      <c r="M7" s="114"/>
      <c r="N7" s="114"/>
    </row>
    <row r="8" spans="1:14" x14ac:dyDescent="0.25">
      <c r="A8" s="114"/>
      <c r="B8" s="114"/>
      <c r="C8" s="114" t="s">
        <v>365</v>
      </c>
      <c r="D8" s="114"/>
      <c r="E8" s="121">
        <f>-SUM(SALDOS!D53:D79)-SALDOS!D88-SALDOS!D101-SALDOS!D114-SALDOS!D115</f>
        <v>-4089334.000000002</v>
      </c>
      <c r="F8" s="114"/>
      <c r="G8" s="114"/>
      <c r="H8" s="114"/>
      <c r="I8" s="114"/>
      <c r="J8" s="114"/>
      <c r="K8" s="114"/>
      <c r="L8" s="114"/>
      <c r="M8" s="114"/>
      <c r="N8" s="114"/>
    </row>
    <row r="9" spans="1:14" x14ac:dyDescent="0.25">
      <c r="A9" s="114"/>
      <c r="B9" s="114"/>
      <c r="C9" s="114" t="s">
        <v>366</v>
      </c>
      <c r="D9" s="114"/>
      <c r="E9" s="121">
        <f>-SALDOS!D95-SALDOS!D12</f>
        <v>91338826.08</v>
      </c>
      <c r="F9" s="114"/>
      <c r="G9" s="114"/>
      <c r="H9" s="114"/>
      <c r="I9" s="114"/>
      <c r="J9" s="114"/>
      <c r="K9" s="114"/>
      <c r="L9" s="114"/>
      <c r="M9" s="120"/>
      <c r="N9" s="121"/>
    </row>
    <row r="10" hidden="1" spans="1:14" x14ac:dyDescent="0.25">
      <c r="A10" s="114"/>
      <c r="B10" s="114"/>
      <c r="C10" s="114" t="s">
        <v>367</v>
      </c>
      <c r="D10" s="114"/>
      <c r="E10" s="120">
        <v>0</v>
      </c>
      <c r="F10" s="114"/>
      <c r="G10" s="114"/>
      <c r="H10" s="114"/>
      <c r="I10" s="114"/>
      <c r="J10" s="114"/>
      <c r="K10" s="114"/>
      <c r="L10" s="114"/>
      <c r="M10" s="114"/>
      <c r="N10" s="121"/>
    </row>
    <row r="11" hidden="1" spans="1:14" x14ac:dyDescent="0.25">
      <c r="A11" s="114"/>
      <c r="B11" s="114"/>
      <c r="C11" s="114" t="s">
        <v>368</v>
      </c>
      <c r="D11" s="114"/>
      <c r="E11" s="120">
        <v>0</v>
      </c>
      <c r="F11" s="114"/>
      <c r="G11" s="114"/>
      <c r="H11" s="114"/>
      <c r="I11" s="114"/>
      <c r="J11" s="114"/>
      <c r="K11" s="114"/>
      <c r="L11" s="114"/>
      <c r="M11" s="114"/>
      <c r="N11" s="121"/>
    </row>
    <row r="12" hidden="1" spans="1:14" x14ac:dyDescent="0.25">
      <c r="A12" s="114"/>
      <c r="B12" s="114"/>
      <c r="C12" s="114" t="s">
        <v>369</v>
      </c>
      <c r="D12" s="114"/>
      <c r="E12" s="120">
        <v>0</v>
      </c>
      <c r="F12" s="114"/>
      <c r="G12" s="114"/>
      <c r="H12" s="114"/>
      <c r="I12" s="114"/>
      <c r="J12" s="114"/>
      <c r="K12" s="114"/>
      <c r="L12" s="114"/>
      <c r="M12" s="114"/>
      <c r="N12" s="114"/>
    </row>
    <row r="13" hidden="1" spans="1:14" x14ac:dyDescent="0.25">
      <c r="A13" s="114"/>
      <c r="B13" s="114"/>
      <c r="C13" s="114" t="s">
        <v>370</v>
      </c>
      <c r="D13" s="114"/>
      <c r="E13" s="120">
        <v>0</v>
      </c>
      <c r="F13" s="114"/>
      <c r="G13" s="114"/>
      <c r="H13" s="114"/>
      <c r="I13" s="114"/>
      <c r="J13" s="114"/>
      <c r="K13" s="114"/>
      <c r="L13" s="114"/>
      <c r="M13" s="114"/>
      <c r="N13" s="114"/>
    </row>
    <row r="14" hidden="1" spans="1:14" x14ac:dyDescent="0.25">
      <c r="A14" s="114"/>
      <c r="B14" s="114"/>
      <c r="C14" s="114" t="s">
        <v>371</v>
      </c>
      <c r="D14" s="114"/>
      <c r="E14" s="120">
        <v>0</v>
      </c>
      <c r="F14" s="114"/>
      <c r="G14" s="114"/>
      <c r="H14" s="114"/>
      <c r="I14" s="114"/>
      <c r="J14" s="114"/>
      <c r="K14" s="114"/>
      <c r="L14" s="114"/>
      <c r="M14" s="114"/>
      <c r="N14" s="114"/>
    </row>
    <row r="15" hidden="1" spans="1:14" x14ac:dyDescent="0.25">
      <c r="A15" s="114"/>
      <c r="B15" s="114"/>
      <c r="C15" s="114" t="s">
        <v>372</v>
      </c>
      <c r="D15" s="114"/>
      <c r="E15" s="120">
        <v>0</v>
      </c>
      <c r="F15" s="114"/>
      <c r="G15" s="114"/>
      <c r="H15" s="114"/>
      <c r="I15" s="114"/>
      <c r="J15" s="114"/>
      <c r="K15" s="114"/>
      <c r="L15" s="114"/>
      <c r="M15" s="114"/>
      <c r="N15" s="114"/>
    </row>
    <row r="16" ht="10.8" customHeight="1" spans="1:14" x14ac:dyDescent="0.25">
      <c r="A16" s="114"/>
      <c r="B16" s="114"/>
      <c r="C16" s="114"/>
      <c r="D16" s="114"/>
      <c r="E16" s="122">
        <f>SUM(E5:E15)</f>
        <v>87249492.08</v>
      </c>
      <c r="F16" s="114"/>
      <c r="G16" s="114"/>
      <c r="H16" s="114"/>
      <c r="I16" s="114"/>
      <c r="J16" s="114"/>
      <c r="K16" s="114"/>
      <c r="L16" s="114"/>
      <c r="M16" s="114"/>
      <c r="N16" s="120"/>
    </row>
    <row r="17" ht="10.8" customHeight="1" spans="1:14" x14ac:dyDescent="0.25">
      <c r="A17" s="118"/>
      <c r="B17" s="114"/>
      <c r="C17" s="114"/>
      <c r="D17" s="114"/>
      <c r="E17" s="121"/>
      <c r="F17" s="114"/>
      <c r="G17" s="114"/>
      <c r="H17" s="114"/>
      <c r="I17" s="114"/>
      <c r="J17" s="114"/>
      <c r="K17" s="114"/>
      <c r="L17" s="114"/>
      <c r="M17" s="114"/>
      <c r="N17" s="114"/>
    </row>
    <row r="18" hidden="1" spans="1:14" x14ac:dyDescent="0.25">
      <c r="A18" s="114" t="s">
        <v>373</v>
      </c>
      <c r="B18" s="119" t="s">
        <v>374</v>
      </c>
      <c r="C18" s="114"/>
      <c r="D18" s="114"/>
      <c r="E18" s="121"/>
      <c r="F18" s="114"/>
      <c r="G18" s="114"/>
      <c r="H18" s="114"/>
      <c r="I18" s="114"/>
      <c r="J18" s="114"/>
      <c r="K18" s="114"/>
      <c r="L18" s="114"/>
      <c r="M18" s="114"/>
      <c r="N18" s="114"/>
    </row>
    <row r="19" hidden="1" spans="1:14" x14ac:dyDescent="0.25">
      <c r="A19" s="114"/>
      <c r="B19" s="119"/>
      <c r="C19" s="114" t="s">
        <v>375</v>
      </c>
      <c r="D19" s="114"/>
      <c r="E19" s="120">
        <v>0</v>
      </c>
      <c r="F19" s="114"/>
      <c r="G19" s="114"/>
      <c r="H19" s="114"/>
      <c r="I19" s="114"/>
      <c r="J19" s="114"/>
      <c r="K19" s="114"/>
      <c r="L19" s="114"/>
      <c r="M19" s="114"/>
      <c r="N19" s="114"/>
    </row>
    <row r="20" hidden="1" spans="1:14" x14ac:dyDescent="0.25">
      <c r="A20" s="114"/>
      <c r="B20" s="119"/>
      <c r="C20" s="114" t="s">
        <v>376</v>
      </c>
      <c r="D20" s="114"/>
      <c r="E20" s="120">
        <v>0</v>
      </c>
      <c r="F20" s="114"/>
      <c r="G20" s="114"/>
      <c r="H20" s="114"/>
      <c r="I20" s="114"/>
      <c r="J20" s="114"/>
      <c r="K20" s="114"/>
      <c r="L20" s="114"/>
      <c r="M20" s="114"/>
      <c r="N20" s="114"/>
    </row>
    <row r="21" hidden="1" spans="1:14" x14ac:dyDescent="0.25">
      <c r="A21" s="114"/>
      <c r="B21" s="119"/>
      <c r="C21" s="114" t="s">
        <v>377</v>
      </c>
      <c r="D21" s="114"/>
      <c r="E21" s="120">
        <v>0</v>
      </c>
      <c r="F21" s="114"/>
      <c r="G21" s="114"/>
      <c r="H21" s="114"/>
      <c r="I21" s="114"/>
      <c r="J21" s="114"/>
      <c r="K21" s="114"/>
      <c r="L21" s="114"/>
      <c r="M21" s="114"/>
      <c r="N21" s="114"/>
    </row>
    <row r="22" hidden="1" spans="1:14" x14ac:dyDescent="0.25">
      <c r="A22" s="114"/>
      <c r="B22" s="119"/>
      <c r="C22" s="114" t="s">
        <v>356</v>
      </c>
      <c r="D22" s="114"/>
      <c r="E22" s="120">
        <v>0</v>
      </c>
      <c r="F22" s="114"/>
      <c r="G22" s="114"/>
      <c r="H22" s="114"/>
      <c r="I22" s="114"/>
      <c r="J22" s="114"/>
      <c r="K22" s="114"/>
      <c r="L22" s="114"/>
      <c r="M22" s="114"/>
      <c r="N22" s="114"/>
    </row>
    <row r="23" ht="10.8" customHeight="1" hidden="1" spans="1:14" x14ac:dyDescent="0.25">
      <c r="A23" s="114"/>
      <c r="B23" s="119"/>
      <c r="C23" s="114" t="s">
        <v>378</v>
      </c>
      <c r="D23" s="114"/>
      <c r="E23" s="126">
        <v>0</v>
      </c>
      <c r="F23" s="114"/>
      <c r="G23" s="114"/>
      <c r="H23" s="114"/>
      <c r="I23" s="114"/>
      <c r="J23" s="114"/>
      <c r="K23" s="114"/>
      <c r="L23" s="114"/>
      <c r="M23" s="114"/>
      <c r="N23" s="114"/>
    </row>
    <row r="24" ht="10.8" customHeight="1" hidden="1" spans="1:14" x14ac:dyDescent="0.25">
      <c r="A24" s="114"/>
      <c r="B24" s="119"/>
      <c r="C24" s="114"/>
      <c r="D24" s="114"/>
      <c r="E24" s="121">
        <f>SUM(E19:L23)</f>
        <v>0</v>
      </c>
      <c r="F24" s="114"/>
      <c r="G24" s="114"/>
      <c r="H24" s="114"/>
      <c r="I24" s="114"/>
      <c r="J24" s="114"/>
      <c r="K24" s="114"/>
      <c r="L24" s="114"/>
      <c r="M24" s="114"/>
      <c r="N24" s="114"/>
    </row>
    <row r="25" spans="1:14" x14ac:dyDescent="0.25">
      <c r="A25" s="114"/>
      <c r="B25" s="119"/>
      <c r="C25" s="114"/>
      <c r="D25" s="114"/>
      <c r="E25" s="121"/>
      <c r="F25" s="114"/>
      <c r="G25" s="114"/>
      <c r="H25" s="114"/>
      <c r="I25" s="114"/>
      <c r="J25" s="114"/>
      <c r="K25" s="114"/>
      <c r="L25" s="114"/>
      <c r="M25" s="114"/>
      <c r="N25" s="114"/>
    </row>
    <row r="26" spans="1:14" x14ac:dyDescent="0.25">
      <c r="A26" s="114"/>
      <c r="B26" s="119"/>
      <c r="C26" s="114"/>
      <c r="D26" s="114"/>
      <c r="E26" s="121"/>
      <c r="F26" s="114"/>
      <c r="G26" s="114"/>
      <c r="H26" s="114"/>
      <c r="I26" s="114"/>
      <c r="J26" s="114"/>
      <c r="K26" s="114"/>
      <c r="L26" s="114"/>
      <c r="M26" s="114"/>
      <c r="N26" s="114"/>
    </row>
    <row r="27" spans="1:14" x14ac:dyDescent="0.25">
      <c r="A27" s="114" t="s">
        <v>373</v>
      </c>
      <c r="B27" s="119" t="s">
        <v>379</v>
      </c>
      <c r="C27" s="114"/>
      <c r="D27" s="114"/>
      <c r="E27" s="121"/>
      <c r="F27" s="114"/>
      <c r="G27" s="114"/>
      <c r="H27" s="114"/>
      <c r="I27" s="114"/>
      <c r="J27" s="114"/>
      <c r="K27" s="114"/>
      <c r="L27" s="114"/>
      <c r="M27" s="114"/>
      <c r="N27" s="114"/>
    </row>
    <row r="28" spans="1:14" x14ac:dyDescent="0.25">
      <c r="A28" s="114"/>
      <c r="B28" s="119"/>
      <c r="C28" s="114" t="s">
        <v>380</v>
      </c>
      <c r="D28" s="114"/>
      <c r="E28" s="121">
        <f>+SALDOS!C83-SALDOS!B83</f>
        <v>-5922590.54</v>
      </c>
      <c r="F28" s="120"/>
      <c r="G28" s="120"/>
      <c r="H28" s="120"/>
      <c r="I28" s="120"/>
      <c r="J28" s="120"/>
      <c r="K28" s="127"/>
      <c r="L28" s="114"/>
      <c r="M28" s="114"/>
      <c r="N28" s="114"/>
    </row>
    <row r="29" spans="1:14" x14ac:dyDescent="0.25">
      <c r="A29" s="114"/>
      <c r="B29" s="119"/>
      <c r="C29" s="114" t="s">
        <v>381</v>
      </c>
      <c r="D29" s="114"/>
      <c r="E29" s="120">
        <f>+SALDOS!C82-SALDOS!B82</f>
        <v>-32024141</v>
      </c>
      <c r="F29" s="120"/>
      <c r="G29" s="120">
        <v>938.38</v>
      </c>
      <c r="H29" s="120"/>
      <c r="I29" s="120"/>
      <c r="J29" s="120"/>
      <c r="K29" s="127">
        <v>0</v>
      </c>
      <c r="L29" s="114"/>
      <c r="M29" s="114"/>
      <c r="N29" s="114"/>
    </row>
    <row r="30" ht="10.8" customHeight="1" spans="1:14" x14ac:dyDescent="0.25">
      <c r="A30" s="114"/>
      <c r="B30" s="114" t="s">
        <v>14</v>
      </c>
      <c r="C30" s="114"/>
      <c r="D30" s="114"/>
      <c r="E30" s="122">
        <f>SUM(E28:E29)</f>
        <v>-37946731.54</v>
      </c>
      <c r="F30" s="120"/>
      <c r="G30" s="128">
        <f>SUM(G28:G29)</f>
        <v>938.38</v>
      </c>
      <c r="H30" s="120"/>
      <c r="I30" s="120"/>
      <c r="J30" s="120"/>
      <c r="K30" s="128" t="e">
        <f>SUM(#REF!)</f>
        <v>#REF!</v>
      </c>
      <c r="L30" s="120"/>
      <c r="M30" s="120"/>
      <c r="N30" s="120"/>
    </row>
    <row r="31" ht="10.8" customHeight="1" spans="1:14" x14ac:dyDescent="0.25">
      <c r="A31" s="114"/>
      <c r="B31" s="114"/>
      <c r="C31" s="114"/>
      <c r="D31" s="114"/>
      <c r="E31" s="114"/>
      <c r="F31" s="114"/>
      <c r="G31" s="114"/>
      <c r="H31" s="114"/>
      <c r="I31" s="114"/>
      <c r="J31" s="129"/>
      <c r="K31" s="129"/>
      <c r="L31" s="129"/>
      <c r="M31" s="114"/>
      <c r="N31" s="114"/>
    </row>
    <row r="32" spans="1:14" x14ac:dyDescent="0.25">
      <c r="A32" s="114" t="s">
        <v>382</v>
      </c>
      <c r="B32" s="119" t="s">
        <v>383</v>
      </c>
      <c r="C32" s="119"/>
      <c r="D32" s="114"/>
      <c r="E32" s="120"/>
      <c r="F32" s="114"/>
      <c r="G32" s="114"/>
      <c r="H32" s="114"/>
      <c r="I32" s="114"/>
      <c r="J32" s="114"/>
      <c r="K32" s="114"/>
      <c r="L32" s="114"/>
      <c r="M32" s="114"/>
      <c r="N32" s="114"/>
    </row>
    <row r="33" spans="1:14" x14ac:dyDescent="0.25">
      <c r="A33" s="114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</row>
    <row r="34" spans="1:14" x14ac:dyDescent="0.25">
      <c r="A34" s="114"/>
      <c r="B34" s="114"/>
      <c r="C34" s="114" t="s">
        <v>384</v>
      </c>
      <c r="D34" s="114"/>
      <c r="E34" s="120">
        <f>+SALDOS!C85-SALDOS!B85</f>
        <v>-83974.39</v>
      </c>
      <c r="F34" s="114"/>
      <c r="G34" s="114"/>
      <c r="H34" s="114"/>
      <c r="I34" s="114"/>
      <c r="J34" s="114"/>
      <c r="K34" s="114"/>
      <c r="L34" s="120"/>
      <c r="M34" s="120"/>
      <c r="N34" s="114"/>
    </row>
    <row r="35" spans="1:14" x14ac:dyDescent="0.25">
      <c r="A35" s="114"/>
      <c r="B35" s="114"/>
      <c r="C35" s="114" t="s">
        <v>385</v>
      </c>
      <c r="D35" s="114"/>
      <c r="E35" s="120">
        <f>+SALDOS!C86-SALDOS!B86</f>
        <v>16382.87</v>
      </c>
      <c r="F35" s="114"/>
      <c r="G35" s="114"/>
      <c r="H35" s="114"/>
      <c r="I35" s="114"/>
      <c r="J35" s="114"/>
      <c r="K35" s="114"/>
      <c r="L35" s="120"/>
      <c r="M35" s="120"/>
      <c r="N35" s="114"/>
    </row>
    <row r="36" spans="1:14" x14ac:dyDescent="0.25">
      <c r="A36" s="114"/>
      <c r="B36" s="114"/>
      <c r="C36" s="114" t="s">
        <v>386</v>
      </c>
      <c r="D36" s="114"/>
      <c r="E36" s="120">
        <f>-SALDOS!B84+SALDOS!C84</f>
        <v>256874.41</v>
      </c>
      <c r="F36" s="114"/>
      <c r="G36" s="114"/>
      <c r="H36" s="114"/>
      <c r="I36" s="114"/>
      <c r="J36" s="114"/>
      <c r="K36" s="114"/>
      <c r="L36" s="120"/>
      <c r="M36" s="120"/>
      <c r="N36" s="114"/>
    </row>
    <row r="37" ht="10.8" customHeight="1" spans="1:14" x14ac:dyDescent="0.25">
      <c r="A37" s="114"/>
      <c r="B37" s="114"/>
      <c r="C37" s="114"/>
      <c r="D37" s="114"/>
      <c r="E37" s="128">
        <f>SUM(E34:E36)</f>
        <v>189282.89</v>
      </c>
      <c r="F37" s="114"/>
      <c r="G37" s="114"/>
      <c r="H37" s="114"/>
      <c r="I37" s="114"/>
      <c r="J37" s="114"/>
      <c r="K37" s="114"/>
      <c r="L37" s="114"/>
      <c r="M37" s="114"/>
      <c r="N37" s="120"/>
    </row>
    <row r="38" ht="10.8" customHeight="1" spans="1:14" x14ac:dyDescent="0.25">
      <c r="A38" s="114"/>
      <c r="B38" s="114"/>
      <c r="C38" s="114"/>
      <c r="D38" s="114"/>
      <c r="E38" s="120"/>
      <c r="F38" s="114"/>
      <c r="G38" s="114"/>
      <c r="H38" s="114"/>
      <c r="I38" s="114"/>
      <c r="J38" s="114"/>
      <c r="K38" s="114"/>
      <c r="L38" s="114"/>
      <c r="M38" s="114"/>
      <c r="N38" s="114"/>
    </row>
    <row r="39" spans="1:14" x14ac:dyDescent="0.25">
      <c r="A39" s="114"/>
      <c r="B39" s="114"/>
      <c r="C39" s="114"/>
      <c r="D39" s="114"/>
      <c r="E39" s="120"/>
      <c r="F39" s="114"/>
      <c r="G39" s="114"/>
      <c r="H39" s="114"/>
      <c r="I39" s="114"/>
      <c r="J39" s="114"/>
      <c r="K39" s="114"/>
      <c r="L39" s="114"/>
      <c r="M39" s="114"/>
      <c r="N39" s="114"/>
    </row>
    <row r="40" spans="1:14" x14ac:dyDescent="0.25">
      <c r="A40" s="130"/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14"/>
      <c r="N40" s="114"/>
    </row>
  </sheetData>
  <mergeCells count="2">
    <mergeCell ref="A40:C40"/>
    <mergeCell ref="D40:L40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2"/>
  <sheetViews>
    <sheetView workbookViewId="0" zoomScale="100" zoomScaleNormal="100">
      <selection activeCell="B17" sqref="B17"/>
    </sheetView>
  </sheetViews>
  <sheetFormatPr defaultRowHeight="0" outlineLevelRow="0" outlineLevelCol="0" x14ac:dyDescent="0" customHeight="1"/>
  <cols>
    <col min="1" max="1" width="20.44140625" customWidth="1"/>
    <col min="2" max="2" width="18.6640625" customWidth="1"/>
    <col min="3" max="3" width="15.109375" customWidth="1"/>
    <col min="4" max="4" width="16.44140625" customWidth="1"/>
    <col min="5" max="5" width="15.44140625" customWidth="1"/>
    <col min="6" max="6" width="10.5546875" hidden="1" customWidth="1"/>
    <col min="7" max="7" width="14" customWidth="1"/>
    <col min="8" max="8" width="15.33203125" customWidth="1"/>
    <col min="9" max="9" width="13.6640625" customWidth="1"/>
    <col min="10" max="10" width="16.109375" customWidth="1"/>
    <col min="11" max="11" width="13.6640625" customWidth="1"/>
    <col min="12" max="257" width="18.109375" customWidth="1"/>
  </cols>
  <sheetData>
    <row r="1" ht="12" customHeight="1" spans="1:12" x14ac:dyDescent="0.25">
      <c r="A1" s="131" t="s">
        <v>387</v>
      </c>
      <c r="B1" s="132"/>
      <c r="C1" s="132"/>
      <c r="D1" s="132"/>
      <c r="E1" s="132"/>
      <c r="F1" s="132"/>
      <c r="G1" s="132"/>
      <c r="H1" s="132"/>
      <c r="I1" s="132"/>
      <c r="J1" s="132"/>
      <c r="K1" s="133"/>
      <c r="L1" s="6"/>
    </row>
    <row r="2" spans="1:12" x14ac:dyDescent="0.25">
      <c r="A2" s="134" t="str">
        <f>+EESP!A3</f>
        <v>31 de Julio de 2026</v>
      </c>
      <c r="B2" s="135"/>
      <c r="C2" s="135"/>
      <c r="D2" s="135"/>
      <c r="E2" s="135"/>
      <c r="F2" s="135"/>
      <c r="G2" s="135"/>
      <c r="H2" s="135"/>
      <c r="I2" s="135"/>
      <c r="J2" s="135"/>
      <c r="K2" s="136"/>
      <c r="L2" s="6"/>
    </row>
    <row r="3" spans="1:12" x14ac:dyDescent="0.25">
      <c r="A3" s="137" t="s">
        <v>14</v>
      </c>
      <c r="B3" s="6"/>
      <c r="C3" s="6"/>
      <c r="D3" s="6"/>
      <c r="E3" s="6"/>
      <c r="F3" s="6"/>
      <c r="G3" s="6"/>
      <c r="H3" s="6"/>
      <c r="I3" s="6"/>
      <c r="J3" s="6"/>
      <c r="K3" s="138"/>
      <c r="L3" s="6"/>
    </row>
    <row r="4" spans="1:12" x14ac:dyDescent="0.25">
      <c r="A4" s="139" t="s">
        <v>14</v>
      </c>
      <c r="B4" s="140"/>
      <c r="C4" s="140"/>
      <c r="D4" s="140"/>
      <c r="E4" s="140"/>
      <c r="F4" s="140"/>
      <c r="G4" s="140"/>
      <c r="H4" s="140"/>
      <c r="I4" s="140"/>
      <c r="J4" s="140"/>
      <c r="K4" s="141"/>
      <c r="L4" s="6"/>
    </row>
    <row r="5" spans="1:12" x14ac:dyDescent="0.25">
      <c r="A5" s="142" t="s">
        <v>14</v>
      </c>
      <c r="B5" s="143" t="s">
        <v>388</v>
      </c>
      <c r="C5" s="143"/>
      <c r="D5" s="143"/>
      <c r="E5" s="144" t="s">
        <v>389</v>
      </c>
      <c r="F5" s="145"/>
      <c r="G5" s="145"/>
      <c r="H5" s="145"/>
      <c r="I5" s="145"/>
      <c r="J5" s="146"/>
      <c r="K5" s="147"/>
      <c r="L5" s="6"/>
    </row>
    <row r="6" spans="1:12" x14ac:dyDescent="0.25">
      <c r="A6" s="148"/>
      <c r="B6" s="149" t="s">
        <v>390</v>
      </c>
      <c r="C6" s="149"/>
      <c r="D6" s="149" t="s">
        <v>390</v>
      </c>
      <c r="E6" s="149" t="s">
        <v>391</v>
      </c>
      <c r="F6" s="149"/>
      <c r="G6" s="149" t="s">
        <v>392</v>
      </c>
      <c r="H6" s="149" t="s">
        <v>393</v>
      </c>
      <c r="I6" s="149"/>
      <c r="J6" s="149" t="s">
        <v>394</v>
      </c>
      <c r="K6" s="150" t="s">
        <v>395</v>
      </c>
      <c r="L6" s="6"/>
    </row>
    <row r="7" spans="1:12" x14ac:dyDescent="0.25">
      <c r="A7" s="151" t="s">
        <v>275</v>
      </c>
      <c r="B7" s="149" t="s">
        <v>396</v>
      </c>
      <c r="C7" s="149" t="s">
        <v>397</v>
      </c>
      <c r="D7" s="149" t="s">
        <v>398</v>
      </c>
      <c r="E7" s="149" t="s">
        <v>399</v>
      </c>
      <c r="F7" s="149" t="s">
        <v>400</v>
      </c>
      <c r="G7" s="149" t="s">
        <v>393</v>
      </c>
      <c r="H7" s="149" t="s">
        <v>401</v>
      </c>
      <c r="I7" s="149" t="s">
        <v>402</v>
      </c>
      <c r="J7" s="149" t="s">
        <v>403</v>
      </c>
      <c r="K7" s="150" t="s">
        <v>404</v>
      </c>
      <c r="L7" s="6"/>
    </row>
    <row r="8" spans="1:12" x14ac:dyDescent="0.25">
      <c r="A8" s="148"/>
      <c r="B8" s="149" t="s">
        <v>405</v>
      </c>
      <c r="C8" s="149"/>
      <c r="D8" s="149" t="s">
        <v>405</v>
      </c>
      <c r="E8" s="149" t="s">
        <v>405</v>
      </c>
      <c r="F8" s="149"/>
      <c r="G8" s="149"/>
      <c r="H8" s="149"/>
      <c r="I8" s="149"/>
      <c r="J8" s="149" t="s">
        <v>405</v>
      </c>
      <c r="K8" s="152">
        <f>+EESP!F9</f>
        <v>46234</v>
      </c>
      <c r="L8" s="6"/>
    </row>
    <row r="9" spans="1:12" x14ac:dyDescent="0.25">
      <c r="A9" s="148"/>
      <c r="B9" s="149" t="s">
        <v>294</v>
      </c>
      <c r="C9" s="149" t="s">
        <v>294</v>
      </c>
      <c r="D9" s="149" t="s">
        <v>294</v>
      </c>
      <c r="E9" s="149" t="s">
        <v>294</v>
      </c>
      <c r="F9" s="149" t="s">
        <v>294</v>
      </c>
      <c r="G9" s="149"/>
      <c r="H9" s="149"/>
      <c r="I9" s="149" t="s">
        <v>294</v>
      </c>
      <c r="J9" s="149" t="s">
        <v>294</v>
      </c>
      <c r="K9" s="150" t="s">
        <v>294</v>
      </c>
      <c r="L9" s="6"/>
    </row>
    <row r="10" spans="1:12" x14ac:dyDescent="0.25">
      <c r="A10" s="153"/>
      <c r="B10" s="154"/>
      <c r="C10" s="154"/>
      <c r="D10" s="154"/>
      <c r="E10" s="154"/>
      <c r="F10" s="154"/>
      <c r="G10" s="154"/>
      <c r="H10" s="154"/>
      <c r="I10" s="154"/>
      <c r="J10" s="154"/>
      <c r="K10" s="155"/>
      <c r="L10" s="6"/>
    </row>
    <row r="11" spans="1:12" x14ac:dyDescent="0.25">
      <c r="A11" s="148" t="s">
        <v>406</v>
      </c>
      <c r="B11" s="156">
        <v>754089.29</v>
      </c>
      <c r="C11" s="48">
        <v>0</v>
      </c>
      <c r="D11" s="156">
        <f>+B11</f>
        <v>754089.29</v>
      </c>
      <c r="E11" s="156">
        <v>754089.29</v>
      </c>
      <c r="F11" s="157"/>
      <c r="G11" s="157"/>
      <c r="H11" s="158">
        <v>0.2</v>
      </c>
      <c r="I11" s="156">
        <f>+J11-E11</f>
        <v>0</v>
      </c>
      <c r="J11" s="156">
        <v>754089.29</v>
      </c>
      <c r="K11" s="159">
        <f>+D11-J11</f>
        <v>0</v>
      </c>
      <c r="L11" s="160"/>
    </row>
    <row r="12" spans="1:12" x14ac:dyDescent="0.25">
      <c r="A12" s="148" t="s">
        <v>407</v>
      </c>
      <c r="B12" s="156">
        <v>349454.86</v>
      </c>
      <c r="C12" s="48">
        <v>0</v>
      </c>
      <c r="D12" s="156">
        <f>+B12</f>
        <v>349454.86</v>
      </c>
      <c r="E12" s="156">
        <v>349454.86</v>
      </c>
      <c r="F12" s="157"/>
      <c r="G12" s="157"/>
      <c r="H12" s="158">
        <v>0.2</v>
      </c>
      <c r="I12" s="156">
        <f>+J12-E12</f>
        <v>0</v>
      </c>
      <c r="J12" s="156">
        <v>349454.86</v>
      </c>
      <c r="K12" s="159">
        <f>+D12-J12</f>
        <v>0</v>
      </c>
      <c r="L12" s="160"/>
    </row>
    <row r="13" spans="1:12" x14ac:dyDescent="0.25">
      <c r="A13" s="148" t="s">
        <v>408</v>
      </c>
      <c r="B13" s="156">
        <v>19271905.73</v>
      </c>
      <c r="C13" s="48">
        <v>0</v>
      </c>
      <c r="D13" s="156">
        <f>+B13</f>
        <v>19271905.73</v>
      </c>
      <c r="E13" s="156">
        <v>16777769.37</v>
      </c>
      <c r="F13" s="157"/>
      <c r="G13" s="161"/>
      <c r="H13" s="158">
        <v>0.2</v>
      </c>
      <c r="I13" s="156">
        <f>+J13-E13</f>
        <v>430023.5099999979</v>
      </c>
      <c r="J13" s="156">
        <v>17207792.88</v>
      </c>
      <c r="K13" s="159">
        <f>+D13-J13</f>
        <v>2064112.8500000015</v>
      </c>
      <c r="L13" s="160"/>
    </row>
    <row r="14" spans="1:12" x14ac:dyDescent="0.25">
      <c r="A14" s="148" t="s">
        <v>409</v>
      </c>
      <c r="B14" s="156">
        <v>2833073.66</v>
      </c>
      <c r="C14" s="48">
        <v>0</v>
      </c>
      <c r="D14" s="156">
        <f>+B14</f>
        <v>2833073.66</v>
      </c>
      <c r="E14" s="156">
        <v>2833073.66</v>
      </c>
      <c r="F14" s="157"/>
      <c r="G14" s="157"/>
      <c r="H14" s="158">
        <v>0.2</v>
      </c>
      <c r="I14" s="156">
        <f>+J14-E14</f>
        <v>0</v>
      </c>
      <c r="J14" s="156">
        <v>2833073.66</v>
      </c>
      <c r="K14" s="159">
        <f>+D14-J14</f>
        <v>0</v>
      </c>
      <c r="L14" s="160"/>
    </row>
    <row r="15" spans="1:12" x14ac:dyDescent="0.25">
      <c r="A15" s="148" t="s">
        <v>410</v>
      </c>
      <c r="B15" s="156">
        <v>2913406.48</v>
      </c>
      <c r="C15" s="48">
        <v>0</v>
      </c>
      <c r="D15" s="156">
        <f>+B15</f>
        <v>2913406.48</v>
      </c>
      <c r="E15" s="156">
        <v>2735631.61</v>
      </c>
      <c r="F15" s="157"/>
      <c r="G15" s="157"/>
      <c r="H15" s="158">
        <v>0.1</v>
      </c>
      <c r="I15" s="156">
        <f>+J15-E15</f>
        <v>18518.220000000205</v>
      </c>
      <c r="J15" s="162">
        <v>2754149.83</v>
      </c>
      <c r="K15" s="159">
        <f>+D15-J15</f>
        <v>159256.6499999999</v>
      </c>
      <c r="L15" s="160"/>
    </row>
    <row r="16" spans="1:12" x14ac:dyDescent="0.25">
      <c r="A16" s="148" t="s">
        <v>411</v>
      </c>
      <c r="B16" s="156">
        <v>9934406.71</v>
      </c>
      <c r="C16" s="48">
        <v>0</v>
      </c>
      <c r="D16" s="156">
        <f>+B16</f>
        <v>9934406.71</v>
      </c>
      <c r="E16" s="156">
        <v>9934406.71</v>
      </c>
      <c r="F16" s="161"/>
      <c r="G16" s="161"/>
      <c r="H16" s="158">
        <v>0.1</v>
      </c>
      <c r="I16" s="156">
        <f>+J16-E16</f>
        <v>0</v>
      </c>
      <c r="J16" s="156">
        <v>9934406.71</v>
      </c>
      <c r="K16" s="159">
        <f>+D16-J16</f>
        <v>0</v>
      </c>
      <c r="L16" s="160"/>
    </row>
    <row r="17" spans="1:12" x14ac:dyDescent="0.25">
      <c r="A17" s="153" t="s">
        <v>412</v>
      </c>
      <c r="B17" s="163">
        <v>166243613.31</v>
      </c>
      <c r="C17" s="48">
        <v>0</v>
      </c>
      <c r="D17" s="156">
        <f>+B17</f>
        <v>166243613.31</v>
      </c>
      <c r="E17" s="163">
        <v>74041450.65</v>
      </c>
      <c r="F17" s="164">
        <v>0</v>
      </c>
      <c r="G17" s="164"/>
      <c r="H17" s="165">
        <v>0.2</v>
      </c>
      <c r="I17" s="163">
        <f>+J17-E17</f>
        <v>11977949.919999987</v>
      </c>
      <c r="J17" s="163">
        <v>86019400.57</v>
      </c>
      <c r="K17" s="159">
        <f>+D17-J17</f>
        <v>80224212.74000001</v>
      </c>
      <c r="L17" s="160"/>
    </row>
    <row r="18" ht="12" customHeight="1" spans="1:12" x14ac:dyDescent="0.25">
      <c r="A18" s="166" t="str">
        <f>+EEPN!B18</f>
        <v>Total al 31/7/26</v>
      </c>
      <c r="B18" s="167">
        <f>SUM(B11:B17)</f>
        <v>202299950.04000002</v>
      </c>
      <c r="C18" s="168">
        <f>SUM(C11:C17)</f>
        <v>0</v>
      </c>
      <c r="D18" s="168">
        <f>SUM(D11:D17)</f>
        <v>202299950.04000002</v>
      </c>
      <c r="E18" s="167">
        <f>SUM(E11:E17)</f>
        <v>107425876.15</v>
      </c>
      <c r="F18" s="169">
        <f>SUM(F17)</f>
        <v>0</v>
      </c>
      <c r="G18" s="169"/>
      <c r="H18" s="169"/>
      <c r="I18" s="167">
        <f>+SALDOS!B161</f>
        <v>2485298.32</v>
      </c>
      <c r="J18" s="167">
        <f>SUM(J11:J17)</f>
        <v>119852367.79999998</v>
      </c>
      <c r="K18" s="170">
        <f>SUM(K11:K17)</f>
        <v>82447582.24000001</v>
      </c>
      <c r="L18" s="160"/>
    </row>
    <row r="19" ht="12" customHeight="1" spans="1:12" x14ac:dyDescent="0.25">
      <c r="A19" s="6"/>
      <c r="B19" s="6"/>
      <c r="C19" s="6"/>
      <c r="D19" s="160"/>
      <c r="E19" s="6"/>
      <c r="F19" s="6"/>
      <c r="G19" s="6"/>
      <c r="H19" s="6"/>
      <c r="I19" s="160"/>
      <c r="J19" s="6"/>
      <c r="K19" s="160"/>
      <c r="L19" s="160"/>
    </row>
    <row r="20" ht="12" customHeight="1" spans="1:12" x14ac:dyDescent="0.25">
      <c r="A20" s="6"/>
      <c r="B20" s="6"/>
      <c r="C20" s="6"/>
      <c r="D20" s="160"/>
      <c r="E20" s="6"/>
      <c r="F20" s="6"/>
      <c r="G20" s="6"/>
      <c r="H20" s="6"/>
      <c r="I20" s="160"/>
      <c r="J20" s="171"/>
      <c r="K20" s="160"/>
      <c r="L20" s="6"/>
    </row>
    <row r="21" spans="1:12" x14ac:dyDescent="0.25">
      <c r="A21" s="6" t="s">
        <v>301</v>
      </c>
      <c r="B21" s="6"/>
      <c r="C21" s="6"/>
      <c r="D21" s="160"/>
      <c r="E21" s="6"/>
      <c r="F21" s="160"/>
      <c r="G21" s="160"/>
      <c r="H21" s="46"/>
      <c r="I21" s="160"/>
      <c r="J21" s="6"/>
      <c r="K21" s="6"/>
      <c r="L21" s="6"/>
    </row>
    <row r="22" spans="1:12" x14ac:dyDescent="0.25">
      <c r="A22" s="6" t="s">
        <v>302</v>
      </c>
      <c r="B22" s="6"/>
      <c r="C22" s="6"/>
      <c r="D22" s="6" t="s">
        <v>14</v>
      </c>
      <c r="E22" s="160"/>
      <c r="F22" s="6"/>
      <c r="G22" s="6"/>
      <c r="H22" s="160"/>
      <c r="I22" s="160"/>
      <c r="J22" s="6"/>
      <c r="K22" s="6"/>
      <c r="L22" s="6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160"/>
      <c r="J23" s="6"/>
      <c r="K23" s="6"/>
      <c r="L23" s="6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160"/>
      <c r="J24" s="6"/>
      <c r="K24" s="6"/>
      <c r="L24" s="6"/>
    </row>
    <row r="25" spans="1:12" x14ac:dyDescent="0.25">
      <c r="A25" s="6"/>
      <c r="B25" s="6"/>
      <c r="C25" s="6"/>
      <c r="D25" s="6"/>
      <c r="E25" s="6"/>
      <c r="F25" s="6"/>
      <c r="G25" s="6"/>
      <c r="H25" s="135"/>
      <c r="I25" s="160"/>
      <c r="J25" s="6"/>
      <c r="K25" s="6"/>
      <c r="L25" s="6"/>
    </row>
    <row r="26" spans="1:12" x14ac:dyDescent="0.25">
      <c r="A26" s="6"/>
      <c r="B26" s="6"/>
      <c r="C26" s="6"/>
      <c r="D26" s="6"/>
      <c r="E26" s="6"/>
      <c r="F26" s="6"/>
      <c r="G26" s="6"/>
      <c r="H26" s="135"/>
      <c r="I26" s="160"/>
      <c r="J26" s="6"/>
      <c r="K26" s="6"/>
      <c r="L26" s="6"/>
    </row>
    <row r="27" spans="1:12" x14ac:dyDescent="0.25">
      <c r="A27" s="6"/>
      <c r="B27" s="6"/>
      <c r="C27" s="6"/>
      <c r="D27" s="6"/>
      <c r="E27" s="6"/>
      <c r="F27" s="6"/>
      <c r="G27" s="6"/>
      <c r="H27" s="135"/>
      <c r="I27" s="160"/>
      <c r="J27" s="6"/>
      <c r="K27" s="6"/>
      <c r="L27" s="6"/>
    </row>
    <row r="28" spans="1:12" x14ac:dyDescent="0.25">
      <c r="A28" s="6"/>
      <c r="B28" s="6"/>
      <c r="C28" s="6"/>
      <c r="D28" s="6"/>
      <c r="E28" s="6"/>
      <c r="F28" s="6"/>
      <c r="G28" s="6"/>
      <c r="H28" s="135"/>
      <c r="I28" s="160"/>
      <c r="J28" s="6"/>
      <c r="K28" s="6"/>
      <c r="L28" s="6"/>
    </row>
    <row r="29" spans="1:12" x14ac:dyDescent="0.25">
      <c r="A29" s="6"/>
      <c r="B29" s="6"/>
      <c r="C29" s="6"/>
      <c r="D29" s="6"/>
      <c r="E29" s="6"/>
      <c r="F29" s="6"/>
      <c r="G29" s="6"/>
      <c r="H29" s="135"/>
      <c r="I29" s="160"/>
      <c r="J29" s="6"/>
      <c r="K29" s="6"/>
      <c r="L29" s="6"/>
    </row>
    <row r="30" spans="1:12" x14ac:dyDescent="0.25">
      <c r="A30" s="6"/>
      <c r="B30" s="6"/>
      <c r="C30" s="6"/>
      <c r="D30" s="6"/>
      <c r="E30" s="6"/>
      <c r="F30" s="6"/>
      <c r="G30" s="6"/>
      <c r="H30" s="135"/>
      <c r="I30" s="6"/>
      <c r="J30" s="6"/>
      <c r="K30" s="6"/>
      <c r="L30" s="6"/>
    </row>
    <row r="31" spans="1:12" x14ac:dyDescent="0.25">
      <c r="A31" s="6"/>
      <c r="B31" s="6"/>
      <c r="C31" s="135"/>
      <c r="D31" s="6"/>
      <c r="E31" s="6"/>
      <c r="F31" s="6"/>
      <c r="G31" s="6"/>
      <c r="H31" s="135"/>
      <c r="I31" s="6"/>
      <c r="J31" s="6"/>
      <c r="K31" s="6"/>
      <c r="L31" s="6"/>
    </row>
    <row r="32" spans="1:12" x14ac:dyDescent="0.25">
      <c r="A32" s="6"/>
      <c r="B32" s="6"/>
      <c r="C32" s="135"/>
      <c r="D32" s="6"/>
      <c r="E32" s="6"/>
      <c r="F32" s="6"/>
      <c r="G32" s="6"/>
      <c r="H32" s="135"/>
      <c r="I32" s="6"/>
      <c r="J32" s="6"/>
      <c r="K32" s="6"/>
      <c r="L32" s="6"/>
    </row>
  </sheetData>
  <mergeCells count="2">
    <mergeCell ref="A2:K2"/>
    <mergeCell ref="E5:J5"/>
  </mergeCells>
  <pageMargins left="0.75" right="0.75" top="1" bottom="1" header="0" footer="0"/>
  <pageSetup paperSize="9" orientation="portrait" horizontalDpi="4294967295" verticalDpi="4294967295" scale="49" fitToWidth="1" fitToHeight="0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4"/>
  <sheetViews>
    <sheetView workbookViewId="0" zoomScale="130" zoomScaleNormal="130">
      <selection activeCell="B3" sqref="B3"/>
    </sheetView>
  </sheetViews>
  <sheetFormatPr defaultRowHeight="0" outlineLevelRow="0" outlineLevelCol="0" x14ac:dyDescent="0" customHeight="1"/>
  <cols>
    <col min="1" max="1" width="1.44140625" customWidth="1"/>
    <col min="2" max="2" width="35" customWidth="1"/>
    <col min="3" max="3" width="17.88671875" customWidth="1"/>
    <col min="4" max="4" width="16.33203125" customWidth="1"/>
    <col min="5" max="5" width="21.44140625" customWidth="1"/>
    <col min="6" max="6" width="15.33203125" customWidth="1"/>
    <col min="7" max="7" width="9" hidden="1" customWidth="1"/>
    <col min="8" max="8" width="93.33203125" customWidth="1"/>
    <col min="9" max="9" width="19.33203125" customWidth="1"/>
    <col min="10" max="10" width="15.33203125" customWidth="1"/>
    <col min="11" max="11" width="14.33203125" customWidth="1"/>
    <col min="12" max="12" width="12.5546875" customWidth="1"/>
    <col min="13" max="13" width="19.109375" customWidth="1"/>
    <col min="14" max="15" width="9.109375" customWidth="1"/>
    <col min="16" max="16" width="14.109375" customWidth="1"/>
    <col min="17" max="257" width="9.109375" customWidth="1"/>
  </cols>
  <sheetData>
    <row r="1" spans="1:19" x14ac:dyDescent="0.25">
      <c r="A1" s="67"/>
      <c r="B1" s="67" t="s">
        <v>14</v>
      </c>
      <c r="C1" s="67"/>
      <c r="D1" s="67"/>
      <c r="E1" s="67"/>
      <c r="F1" s="67"/>
      <c r="G1" s="67" t="s">
        <v>413</v>
      </c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</row>
    <row r="2" spans="1:19" x14ac:dyDescent="0.25">
      <c r="A2" s="67" t="s">
        <v>14</v>
      </c>
      <c r="B2" s="67" t="s">
        <v>14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3" spans="1:19" x14ac:dyDescent="0.25">
      <c r="A3" s="68" t="s">
        <v>414</v>
      </c>
      <c r="B3" s="67"/>
      <c r="C3" s="67"/>
      <c r="D3" s="67"/>
      <c r="E3" s="67"/>
      <c r="F3" s="67" t="s">
        <v>415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</row>
    <row r="4" spans="1:19" x14ac:dyDescent="0.25">
      <c r="A4" s="67" t="str">
        <f>+Activo!B3</f>
        <v>Al 31 de Julio del 2026 - cifras expresadas en Pesos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</row>
    <row r="5" ht="13.8" customHeight="1" spans="1:19" x14ac:dyDescent="0.25">
      <c r="A5" s="67"/>
      <c r="B5" s="67" t="s">
        <v>14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</row>
    <row r="6" ht="14.4" customHeight="1" spans="1:19" x14ac:dyDescent="0.25">
      <c r="A6" s="172" t="s">
        <v>14</v>
      </c>
      <c r="B6" s="173"/>
      <c r="C6" s="174" t="s">
        <v>416</v>
      </c>
      <c r="D6" s="174" t="s">
        <v>417</v>
      </c>
      <c r="E6" s="174" t="s">
        <v>418</v>
      </c>
      <c r="F6" s="175" t="s">
        <v>417</v>
      </c>
      <c r="G6" s="176" t="s">
        <v>416</v>
      </c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</row>
    <row r="7" spans="1:19" x14ac:dyDescent="0.25">
      <c r="A7" s="177" t="s">
        <v>14</v>
      </c>
      <c r="B7" s="178" t="s">
        <v>419</v>
      </c>
      <c r="C7" s="179" t="s">
        <v>420</v>
      </c>
      <c r="D7" s="179" t="s">
        <v>421</v>
      </c>
      <c r="E7" s="179" t="s">
        <v>421</v>
      </c>
      <c r="F7" s="180"/>
      <c r="G7" s="83" t="s">
        <v>420</v>
      </c>
      <c r="H7" s="67"/>
      <c r="I7" s="181"/>
      <c r="J7" s="182" t="s">
        <v>422</v>
      </c>
      <c r="K7" s="182" t="s">
        <v>423</v>
      </c>
      <c r="L7" s="182" t="s">
        <v>424</v>
      </c>
      <c r="M7" s="182" t="s">
        <v>425</v>
      </c>
      <c r="N7" s="182" t="s">
        <v>426</v>
      </c>
      <c r="O7" s="182" t="s">
        <v>427</v>
      </c>
      <c r="P7" s="182" t="s">
        <v>428</v>
      </c>
      <c r="Q7" s="183" t="s">
        <v>429</v>
      </c>
      <c r="R7" s="67"/>
      <c r="S7" s="67"/>
    </row>
    <row r="8" ht="13.8" customHeight="1" spans="1:19" x14ac:dyDescent="0.25">
      <c r="A8" s="184"/>
      <c r="B8" s="185"/>
      <c r="C8" s="186">
        <f>+EESP!F9</f>
        <v>46234</v>
      </c>
      <c r="D8" s="187" t="s">
        <v>430</v>
      </c>
      <c r="E8" s="187" t="s">
        <v>431</v>
      </c>
      <c r="F8" s="188" t="s">
        <v>432</v>
      </c>
      <c r="G8" s="189" t="s">
        <v>433</v>
      </c>
      <c r="H8" s="67"/>
      <c r="I8" s="190"/>
      <c r="J8" s="191"/>
      <c r="K8" s="191"/>
      <c r="L8" s="191"/>
      <c r="M8" s="191"/>
      <c r="N8" s="191"/>
      <c r="O8" s="191"/>
      <c r="P8" s="191"/>
      <c r="Q8" s="192"/>
      <c r="R8" s="67"/>
      <c r="S8" s="67"/>
    </row>
    <row r="9" hidden="1" spans="1:19" x14ac:dyDescent="0.25">
      <c r="A9" s="177"/>
      <c r="B9" s="114" t="s">
        <v>434</v>
      </c>
      <c r="C9" s="193">
        <f>SUM(D9:F9)</f>
        <v>0</v>
      </c>
      <c r="D9" s="194">
        <v>0</v>
      </c>
      <c r="E9" s="194">
        <f>+SALDOS!B164</f>
        <v>0</v>
      </c>
      <c r="F9" s="195">
        <v>0</v>
      </c>
      <c r="G9" s="196"/>
      <c r="H9" s="67"/>
      <c r="I9" s="67"/>
      <c r="J9" s="197"/>
      <c r="K9" s="197"/>
      <c r="L9" s="197"/>
      <c r="M9" s="197"/>
      <c r="N9" s="197"/>
      <c r="O9" s="197"/>
      <c r="P9" s="197"/>
      <c r="Q9" s="197"/>
      <c r="R9" s="67"/>
      <c r="S9" s="67"/>
    </row>
    <row r="10" hidden="1" spans="1:19" x14ac:dyDescent="0.25">
      <c r="A10" s="177"/>
      <c r="B10" s="114" t="s">
        <v>435</v>
      </c>
      <c r="C10" s="193">
        <f>SUM(D10:F10)</f>
        <v>0</v>
      </c>
      <c r="D10" s="194">
        <v>0</v>
      </c>
      <c r="E10" s="194">
        <f>+SALDOS!B216</f>
      </c>
      <c r="F10" s="195">
        <v>0</v>
      </c>
      <c r="G10" s="196"/>
      <c r="H10" s="67"/>
      <c r="I10" s="67"/>
      <c r="J10" s="197"/>
      <c r="K10" s="197"/>
      <c r="L10" s="197"/>
      <c r="M10" s="197"/>
      <c r="N10" s="197"/>
      <c r="O10" s="197"/>
      <c r="P10" s="197"/>
      <c r="Q10" s="197"/>
      <c r="R10" s="67"/>
      <c r="S10" s="67"/>
    </row>
    <row r="11" hidden="1" spans="1:19" x14ac:dyDescent="0.25">
      <c r="A11" s="177"/>
      <c r="B11" s="114" t="s">
        <v>436</v>
      </c>
      <c r="C11" s="193">
        <f>SUM(D11:F11)</f>
        <v>0</v>
      </c>
      <c r="D11" s="194">
        <v>0</v>
      </c>
      <c r="E11" s="194">
        <f>+SALDOS!B198</f>
      </c>
      <c r="F11" s="195">
        <v>0</v>
      </c>
      <c r="G11" s="196"/>
      <c r="H11" s="67"/>
      <c r="I11" s="67"/>
      <c r="J11" s="110"/>
      <c r="K11" s="110"/>
      <c r="L11" s="110"/>
      <c r="M11" s="67"/>
      <c r="N11" s="110"/>
      <c r="O11" s="67"/>
      <c r="P11" s="67"/>
      <c r="Q11" s="110"/>
      <c r="R11" s="67"/>
      <c r="S11" s="67"/>
    </row>
    <row r="12" hidden="1" spans="1:19" x14ac:dyDescent="0.25">
      <c r="A12" s="177"/>
      <c r="B12" s="114" t="s">
        <v>437</v>
      </c>
      <c r="C12" s="193">
        <f>SUM(D12:F12)</f>
        <v>0</v>
      </c>
      <c r="D12" s="194">
        <v>0</v>
      </c>
      <c r="E12" s="194">
        <f>+SALDOS!B206</f>
      </c>
      <c r="F12" s="195">
        <v>0</v>
      </c>
      <c r="G12" s="196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</row>
    <row r="13" hidden="1" spans="1:19" x14ac:dyDescent="0.25">
      <c r="A13" s="177"/>
      <c r="B13" s="114" t="s">
        <v>438</v>
      </c>
      <c r="C13" s="193">
        <f>SUM(D13:F13)</f>
        <v>0</v>
      </c>
      <c r="D13" s="194">
        <v>0</v>
      </c>
      <c r="E13" s="194">
        <f>+SALDOS!B204</f>
      </c>
      <c r="F13" s="195">
        <v>0</v>
      </c>
      <c r="G13" s="196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</row>
    <row r="14" spans="1:19" x14ac:dyDescent="0.25">
      <c r="A14" s="177"/>
      <c r="B14" s="114" t="s">
        <v>439</v>
      </c>
      <c r="C14" s="198">
        <f>SUM(D14:F14)</f>
        <v>467976.4</v>
      </c>
      <c r="D14" s="199">
        <f>+SALDOS!B163-SALDOS!C163</f>
        <v>467976.4</v>
      </c>
      <c r="E14" s="199">
        <f>+SALDOS!B205</f>
      </c>
      <c r="F14" s="200">
        <v>0</v>
      </c>
      <c r="G14" s="196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</row>
    <row r="15" hidden="1" spans="1:19" x14ac:dyDescent="0.25">
      <c r="A15" s="177"/>
      <c r="B15" s="114" t="s">
        <v>440</v>
      </c>
      <c r="C15" s="198">
        <f>SUM(D15:F15)</f>
        <v>0</v>
      </c>
      <c r="D15" s="199">
        <f>+SALDOS!B167</f>
        <v>0</v>
      </c>
      <c r="E15" s="199">
        <v>0</v>
      </c>
      <c r="F15" s="200">
        <v>0</v>
      </c>
      <c r="G15" s="196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</row>
    <row r="16" spans="1:19" x14ac:dyDescent="0.25">
      <c r="A16" s="177"/>
      <c r="B16" s="114" t="s">
        <v>441</v>
      </c>
      <c r="C16" s="198">
        <f>SUM(D16:F16)</f>
        <v>2485298.32</v>
      </c>
      <c r="D16" s="199">
        <v>0</v>
      </c>
      <c r="E16" s="199">
        <f>+SALDOS!B161</f>
        <v>2485298.32</v>
      </c>
      <c r="F16" s="200">
        <v>0</v>
      </c>
      <c r="G16" s="196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</row>
    <row r="17" hidden="1" spans="1:19" x14ac:dyDescent="0.25">
      <c r="A17" s="177"/>
      <c r="B17" s="114" t="s">
        <v>442</v>
      </c>
      <c r="C17" s="198">
        <f>SUM(D17:F17)</f>
        <v>0</v>
      </c>
      <c r="D17" s="199">
        <v>0</v>
      </c>
      <c r="E17" s="199">
        <f>+SALDOS!B208</f>
      </c>
      <c r="F17" s="200">
        <v>0</v>
      </c>
      <c r="G17" s="196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</row>
    <row r="18" spans="1:19" x14ac:dyDescent="0.25">
      <c r="A18" s="177"/>
      <c r="B18" s="114" t="s">
        <v>443</v>
      </c>
      <c r="C18" s="198">
        <f>SUM(D18:F18)</f>
        <v>72446.22</v>
      </c>
      <c r="D18" s="199">
        <f>+SALDOS!B160-SALDOS!C160</f>
        <v>72446.22</v>
      </c>
      <c r="E18" s="199">
        <f>+SALDOS!B209</f>
      </c>
      <c r="F18" s="200">
        <v>0</v>
      </c>
      <c r="G18" s="196"/>
      <c r="H18" s="67"/>
      <c r="I18" s="67"/>
      <c r="J18" s="110"/>
      <c r="K18" s="110"/>
      <c r="L18" s="110"/>
      <c r="M18" s="67"/>
      <c r="N18" s="110"/>
      <c r="O18" s="67"/>
      <c r="P18" s="67"/>
      <c r="Q18" s="110"/>
      <c r="R18" s="67"/>
      <c r="S18" s="67"/>
    </row>
    <row r="19" hidden="1" spans="1:19" x14ac:dyDescent="0.25">
      <c r="A19" s="177"/>
      <c r="B19" s="114" t="s">
        <v>444</v>
      </c>
      <c r="C19" s="198">
        <f>SUM(D19:F19)</f>
        <v>0</v>
      </c>
      <c r="D19" s="199">
        <f>+SALDOS!B162</f>
        <v>0</v>
      </c>
      <c r="E19" s="199">
        <v>0</v>
      </c>
      <c r="F19" s="200">
        <v>0</v>
      </c>
      <c r="G19" s="196"/>
      <c r="H19" s="67"/>
      <c r="I19" s="67"/>
      <c r="J19" s="110"/>
      <c r="K19" s="110"/>
      <c r="L19" s="110"/>
      <c r="M19" s="67"/>
      <c r="N19" s="110"/>
      <c r="O19" s="67"/>
      <c r="P19" s="67"/>
      <c r="Q19" s="110"/>
      <c r="R19" s="67"/>
      <c r="S19" s="67"/>
    </row>
    <row r="20" hidden="1" spans="1:19" x14ac:dyDescent="0.25">
      <c r="A20" s="177"/>
      <c r="B20" s="114" t="s">
        <v>445</v>
      </c>
      <c r="C20" s="198">
        <f>SUM(D20:F20)</f>
        <v>0</v>
      </c>
      <c r="D20" s="199">
        <v>0</v>
      </c>
      <c r="E20" s="199">
        <v>0</v>
      </c>
      <c r="F20" s="200">
        <v>0</v>
      </c>
      <c r="G20" s="196"/>
      <c r="H20" s="67"/>
      <c r="I20" s="67"/>
      <c r="J20" s="110"/>
      <c r="K20" s="110"/>
      <c r="L20" s="110"/>
      <c r="M20" s="67"/>
      <c r="N20" s="110"/>
      <c r="O20" s="67"/>
      <c r="P20" s="67"/>
      <c r="Q20" s="110"/>
      <c r="R20" s="67"/>
      <c r="S20" s="67"/>
    </row>
    <row r="21" hidden="1" spans="1:19" x14ac:dyDescent="0.25">
      <c r="A21" s="177"/>
      <c r="B21" s="114" t="s">
        <v>446</v>
      </c>
      <c r="C21" s="198">
        <f>SUM(D21:F21)</f>
        <v>0</v>
      </c>
      <c r="D21" s="199">
        <f>++SALDOS!B197</f>
      </c>
      <c r="E21" s="199">
        <f>+SALDOS!B213</f>
      </c>
      <c r="F21" s="200">
        <v>0</v>
      </c>
      <c r="G21" s="196"/>
      <c r="H21" s="67"/>
      <c r="I21" s="67"/>
      <c r="J21" s="110"/>
      <c r="K21" s="110"/>
      <c r="L21" s="110"/>
      <c r="M21" s="67"/>
      <c r="N21" s="110"/>
      <c r="O21" s="67"/>
      <c r="P21" s="67"/>
      <c r="Q21" s="110"/>
      <c r="R21" s="67"/>
      <c r="S21" s="67"/>
    </row>
    <row r="22" hidden="1" spans="1:19" x14ac:dyDescent="0.25">
      <c r="A22" s="177"/>
      <c r="B22" s="114" t="s">
        <v>447</v>
      </c>
      <c r="C22" s="198">
        <f>SUM(D22:F22)</f>
        <v>0</v>
      </c>
      <c r="D22" s="199">
        <v>0</v>
      </c>
      <c r="E22" s="199">
        <f>+SALDOS!B214</f>
      </c>
      <c r="F22" s="200">
        <v>0</v>
      </c>
      <c r="G22" s="196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</row>
    <row r="23" hidden="1" spans="1:19" x14ac:dyDescent="0.25">
      <c r="A23" s="177"/>
      <c r="B23" s="114" t="s">
        <v>448</v>
      </c>
      <c r="C23" s="198">
        <f>SUM(D23:F23)</f>
        <v>0</v>
      </c>
      <c r="D23" s="199">
        <v>0</v>
      </c>
      <c r="E23" s="199">
        <v>0</v>
      </c>
      <c r="F23" s="200">
        <v>0</v>
      </c>
      <c r="G23" s="196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</row>
    <row r="24" hidden="1" spans="1:19" x14ac:dyDescent="0.25">
      <c r="A24" s="177"/>
      <c r="B24" s="114" t="s">
        <v>449</v>
      </c>
      <c r="C24" s="198">
        <f>SUM(D24:F24)</f>
        <v>0</v>
      </c>
      <c r="D24" s="199">
        <v>0</v>
      </c>
      <c r="E24" s="199">
        <f>-SALDOS!C165</f>
        <v>0</v>
      </c>
      <c r="F24" s="200">
        <v>0</v>
      </c>
      <c r="G24" s="196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</row>
    <row r="25" hidden="1" spans="1:19" x14ac:dyDescent="0.25">
      <c r="A25" s="177"/>
      <c r="B25" s="114" t="s">
        <v>450</v>
      </c>
      <c r="C25" s="198">
        <f>SUM(D25:F25)</f>
        <v>0</v>
      </c>
      <c r="D25" s="199">
        <f>+SALDOS!B217</f>
      </c>
      <c r="E25" s="199">
        <v>0</v>
      </c>
      <c r="F25" s="200">
        <v>0</v>
      </c>
      <c r="G25" s="196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</row>
    <row r="26" hidden="1" spans="1:19" x14ac:dyDescent="0.25">
      <c r="A26" s="177"/>
      <c r="B26" s="114" t="s">
        <v>451</v>
      </c>
      <c r="C26" s="198">
        <f>SUM(D26:F26)</f>
        <v>0</v>
      </c>
      <c r="D26" s="199">
        <v>0</v>
      </c>
      <c r="E26" s="199">
        <v>0</v>
      </c>
      <c r="F26" s="200">
        <v>0</v>
      </c>
      <c r="G26" s="196"/>
      <c r="H26" s="110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</row>
    <row r="27" hidden="1" spans="1:19" x14ac:dyDescent="0.25">
      <c r="A27" s="177"/>
      <c r="B27" s="114" t="s">
        <v>452</v>
      </c>
      <c r="C27" s="198">
        <f>SUM(D27:F27)</f>
        <v>0</v>
      </c>
      <c r="D27" s="199">
        <v>0</v>
      </c>
      <c r="E27" s="199">
        <f>+SALDOS!B220</f>
      </c>
      <c r="F27" s="200">
        <v>0</v>
      </c>
      <c r="G27" s="196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</row>
    <row r="28" spans="1:19" x14ac:dyDescent="0.25">
      <c r="A28" s="177"/>
      <c r="B28" s="114" t="s">
        <v>453</v>
      </c>
      <c r="C28" s="198">
        <f>SUM(D28:F28)</f>
        <v>80711</v>
      </c>
      <c r="D28" s="199">
        <v>0</v>
      </c>
      <c r="E28" s="199">
        <f>+SALDOS!B215</f>
        <v>80711</v>
      </c>
      <c r="F28" s="200">
        <v>0</v>
      </c>
      <c r="G28" s="196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</row>
    <row r="29" hidden="1" spans="1:19" x14ac:dyDescent="0.25">
      <c r="A29" s="177"/>
      <c r="B29" s="114" t="s">
        <v>441</v>
      </c>
      <c r="C29" s="198">
        <f>SUM(D29:F29)</f>
        <v>0</v>
      </c>
      <c r="D29" s="199">
        <v>0</v>
      </c>
      <c r="E29" s="199">
        <v>0</v>
      </c>
      <c r="F29" s="200">
        <v>0</v>
      </c>
      <c r="G29" s="196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</row>
    <row r="30" hidden="1" spans="1:19" x14ac:dyDescent="0.25">
      <c r="A30" s="177"/>
      <c r="B30" s="114" t="s">
        <v>454</v>
      </c>
      <c r="C30" s="198">
        <f>SUM(D30:F30)</f>
        <v>0</v>
      </c>
      <c r="D30" s="199">
        <v>0</v>
      </c>
      <c r="E30" s="199">
        <f>+SALDOS!B199</f>
      </c>
      <c r="F30" s="200">
        <v>0</v>
      </c>
      <c r="G30" s="196"/>
      <c r="H30" s="67"/>
      <c r="I30" s="201" t="s">
        <v>455</v>
      </c>
      <c r="J30" s="202">
        <v>3400.5126178084683</v>
      </c>
      <c r="K30" s="202">
        <v>5282.081275674491</v>
      </c>
      <c r="L30" s="202">
        <v>3714.6061065170416</v>
      </c>
      <c r="M30" s="201"/>
      <c r="N30" s="202"/>
      <c r="O30" s="201"/>
      <c r="P30" s="202">
        <v>4372</v>
      </c>
      <c r="Q30" s="202"/>
      <c r="R30" s="67" t="s">
        <v>456</v>
      </c>
      <c r="S30" s="67"/>
    </row>
    <row r="31" spans="1:19" x14ac:dyDescent="0.25">
      <c r="A31" s="177"/>
      <c r="B31" s="114" t="s">
        <v>448</v>
      </c>
      <c r="C31" s="198">
        <f>SUM(D31:F31)</f>
        <v>8933342.28</v>
      </c>
      <c r="D31" s="199">
        <v>0</v>
      </c>
      <c r="E31" s="199">
        <f>+SALDOS!B143+SALDOS!B145</f>
        <v>8933342.28</v>
      </c>
      <c r="F31" s="200">
        <v>0</v>
      </c>
      <c r="G31" s="196"/>
      <c r="H31" s="67"/>
      <c r="I31" s="203" t="s">
        <v>457</v>
      </c>
      <c r="J31" s="204">
        <v>7385.662232726983</v>
      </c>
      <c r="K31" s="204">
        <v>30178.815451905335</v>
      </c>
      <c r="L31" s="204">
        <v>9981.542315367677</v>
      </c>
      <c r="M31" s="203"/>
      <c r="N31" s="204"/>
      <c r="O31" s="203"/>
      <c r="P31" s="203"/>
      <c r="Q31" s="204"/>
      <c r="R31" s="67" t="s">
        <v>458</v>
      </c>
      <c r="S31" s="67"/>
    </row>
    <row r="32" hidden="1" spans="1:19" x14ac:dyDescent="0.25">
      <c r="A32" s="177"/>
      <c r="B32" s="114" t="s">
        <v>459</v>
      </c>
      <c r="C32" s="198">
        <f>SUM(D32:F32)</f>
        <v>0</v>
      </c>
      <c r="D32" s="199">
        <v>0</v>
      </c>
      <c r="E32" s="199">
        <v>0</v>
      </c>
      <c r="F32" s="200">
        <v>0</v>
      </c>
      <c r="G32" s="196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</row>
    <row r="33" hidden="1" spans="1:19" x14ac:dyDescent="0.25">
      <c r="A33" s="177"/>
      <c r="B33" s="114" t="s">
        <v>460</v>
      </c>
      <c r="C33" s="198">
        <f>SUM(D33:F33)</f>
        <v>0</v>
      </c>
      <c r="D33" s="199">
        <f>+SALDOS!B141</f>
        <v>0</v>
      </c>
      <c r="E33" s="199">
        <v>0</v>
      </c>
      <c r="F33" s="200">
        <v>0</v>
      </c>
      <c r="G33" s="196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</row>
    <row r="34" hidden="1" spans="1:19" x14ac:dyDescent="0.25">
      <c r="A34" s="177"/>
      <c r="B34" s="114" t="s">
        <v>461</v>
      </c>
      <c r="C34" s="198">
        <f>SUM(D34:F34)</f>
        <v>0</v>
      </c>
      <c r="D34" s="199">
        <v>0</v>
      </c>
      <c r="E34" s="199">
        <f>+SALDOS!B226</f>
      </c>
      <c r="F34" s="200">
        <v>0</v>
      </c>
      <c r="G34" s="196"/>
      <c r="H34" s="67"/>
      <c r="I34" s="205" t="s">
        <v>462</v>
      </c>
      <c r="J34" s="202"/>
      <c r="K34" s="202"/>
      <c r="L34" s="202">
        <f>+E34</f>
        <v>0</v>
      </c>
      <c r="M34" s="201"/>
      <c r="N34" s="202"/>
      <c r="O34" s="201"/>
      <c r="P34" s="201"/>
      <c r="Q34" s="206"/>
      <c r="R34" s="67"/>
      <c r="S34" s="67"/>
    </row>
    <row r="35" hidden="1" spans="1:19" x14ac:dyDescent="0.25">
      <c r="A35" s="177"/>
      <c r="B35" s="114" t="s">
        <v>463</v>
      </c>
      <c r="C35" s="198">
        <f>SUM(D35:F35)</f>
        <v>0</v>
      </c>
      <c r="D35" s="199">
        <v>0</v>
      </c>
      <c r="E35" s="199">
        <v>0</v>
      </c>
      <c r="F35" s="200">
        <v>0</v>
      </c>
      <c r="G35" s="196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</row>
    <row r="36" hidden="1" spans="1:19" x14ac:dyDescent="0.25">
      <c r="A36" s="177"/>
      <c r="B36" s="114" t="s">
        <v>464</v>
      </c>
      <c r="C36" s="198">
        <f>SUM(D36:F36)</f>
        <v>0</v>
      </c>
      <c r="D36" s="199">
        <v>0</v>
      </c>
      <c r="E36" s="199">
        <v>0</v>
      </c>
      <c r="F36" s="200">
        <v>0</v>
      </c>
      <c r="G36" s="196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</row>
    <row r="37" hidden="1" spans="1:19" x14ac:dyDescent="0.25">
      <c r="A37" s="177"/>
      <c r="B37" s="114" t="s">
        <v>465</v>
      </c>
      <c r="C37" s="198">
        <f>SUM(D37:F37)</f>
        <v>0</v>
      </c>
      <c r="D37" s="199">
        <f>+SALDOS!B155</f>
        <v>0</v>
      </c>
      <c r="E37" s="199">
        <v>0</v>
      </c>
      <c r="F37" s="200">
        <v>0</v>
      </c>
      <c r="G37" s="196"/>
      <c r="H37" s="67"/>
      <c r="I37" s="201" t="s">
        <v>466</v>
      </c>
      <c r="J37" s="202">
        <v>474</v>
      </c>
      <c r="K37" s="202">
        <v>528</v>
      </c>
      <c r="L37" s="202"/>
      <c r="M37" s="201"/>
      <c r="N37" s="202"/>
      <c r="O37" s="201"/>
      <c r="P37" s="201"/>
      <c r="Q37" s="202"/>
      <c r="R37" s="67"/>
      <c r="S37" s="67"/>
    </row>
    <row r="38" hidden="1" spans="1:19" x14ac:dyDescent="0.25">
      <c r="A38" s="177"/>
      <c r="B38" s="114" t="s">
        <v>467</v>
      </c>
      <c r="C38" s="198">
        <f>SUM(D38:F38)</f>
        <v>0</v>
      </c>
      <c r="D38" s="199">
        <v>0</v>
      </c>
      <c r="E38" s="199">
        <f>+SALDOS!B187</f>
      </c>
      <c r="F38" s="200">
        <v>0</v>
      </c>
      <c r="G38" s="207"/>
      <c r="H38" s="67"/>
      <c r="I38" s="201" t="s">
        <v>468</v>
      </c>
      <c r="J38" s="202"/>
      <c r="K38" s="202"/>
      <c r="L38" s="202"/>
      <c r="M38" s="202"/>
      <c r="N38" s="202"/>
      <c r="O38" s="203"/>
      <c r="P38" s="202">
        <f>+C38</f>
        <v>0</v>
      </c>
      <c r="Q38" s="202"/>
      <c r="R38" s="67"/>
      <c r="S38" s="67"/>
    </row>
    <row r="39" hidden="1" spans="1:19" x14ac:dyDescent="0.25">
      <c r="A39" s="177"/>
      <c r="B39" s="114" t="s">
        <v>469</v>
      </c>
      <c r="C39" s="198">
        <f>SUM(D39:F39)</f>
        <v>0</v>
      </c>
      <c r="D39" s="199">
        <v>0</v>
      </c>
      <c r="E39" s="199">
        <v>0</v>
      </c>
      <c r="F39" s="200">
        <v>0</v>
      </c>
      <c r="G39" s="20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</row>
    <row r="40" hidden="1" spans="1:19" x14ac:dyDescent="0.25">
      <c r="A40" s="177"/>
      <c r="B40" s="114" t="s">
        <v>268</v>
      </c>
      <c r="C40" s="198">
        <f>SUM(D40:F40)</f>
        <v>0</v>
      </c>
      <c r="D40" s="199">
        <v>0</v>
      </c>
      <c r="E40" s="199">
        <v>0</v>
      </c>
      <c r="F40" s="200">
        <v>0</v>
      </c>
      <c r="G40" s="207"/>
      <c r="H40" s="67"/>
      <c r="I40" s="201" t="s">
        <v>470</v>
      </c>
      <c r="J40" s="202"/>
      <c r="K40" s="202">
        <f>4800+5000+3000+5000</f>
        <v>17800</v>
      </c>
      <c r="L40" s="202">
        <v>7200</v>
      </c>
      <c r="M40" s="201"/>
      <c r="N40" s="202"/>
      <c r="O40" s="201"/>
      <c r="P40" s="201"/>
      <c r="Q40" s="202"/>
      <c r="R40" s="67" t="s">
        <v>471</v>
      </c>
      <c r="S40" s="67"/>
    </row>
    <row r="41" spans="1:19" x14ac:dyDescent="0.25">
      <c r="A41" s="177"/>
      <c r="B41" s="114" t="s">
        <v>472</v>
      </c>
      <c r="C41" s="198">
        <f>SUM(D41:F41)</f>
        <v>506825.21</v>
      </c>
      <c r="D41" s="199">
        <v>0</v>
      </c>
      <c r="E41" s="199">
        <f>+SALDOS!B182+SALDOS!B230</f>
        <v>506825.21</v>
      </c>
      <c r="F41" s="200">
        <v>0</v>
      </c>
      <c r="G41" s="207"/>
      <c r="H41" s="110"/>
      <c r="I41" s="91" t="s">
        <v>473</v>
      </c>
      <c r="J41" s="94">
        <v>281.16</v>
      </c>
      <c r="K41" s="94">
        <f>3211.01+4543.6</f>
        <v>7754.610000000001</v>
      </c>
      <c r="L41" s="94">
        <v>1075.53</v>
      </c>
      <c r="M41" s="91"/>
      <c r="N41" s="94"/>
      <c r="O41" s="91"/>
      <c r="P41" s="91"/>
      <c r="Q41" s="94"/>
      <c r="R41" s="67"/>
      <c r="S41" s="67"/>
    </row>
    <row r="42" ht="13.8" customHeight="1" spans="1:19" x14ac:dyDescent="0.25">
      <c r="A42" s="177"/>
      <c r="B42" s="114" t="s">
        <v>474</v>
      </c>
      <c r="C42" s="198">
        <f>SUM(D42:F42)</f>
        <v>505527.94</v>
      </c>
      <c r="D42" s="199">
        <v>0</v>
      </c>
      <c r="E42" s="199">
        <f>-SALDOS!C176+SALDOS!B176</f>
        <v>505527.94</v>
      </c>
      <c r="F42" s="200">
        <v>0</v>
      </c>
      <c r="G42" s="196"/>
      <c r="H42" s="110"/>
      <c r="I42" s="201" t="s">
        <v>475</v>
      </c>
      <c r="J42" s="202">
        <f>2248.27+2043.98+1241.35</f>
        <v>5533.6</v>
      </c>
      <c r="K42" s="202">
        <f>2543.13+2338.55+2410.41</f>
        <v>7292.09</v>
      </c>
      <c r="L42" s="202">
        <f>1803.75+2112.36+2202.79</f>
        <v>6118.9</v>
      </c>
      <c r="M42" s="201">
        <v>1098.32</v>
      </c>
      <c r="N42" s="202"/>
      <c r="O42" s="201"/>
      <c r="P42" s="201"/>
      <c r="Q42" s="202"/>
      <c r="R42" s="67" t="s">
        <v>476</v>
      </c>
      <c r="S42" s="67"/>
    </row>
    <row r="43" hidden="1" spans="1:19" x14ac:dyDescent="0.25">
      <c r="A43" s="177"/>
      <c r="B43" s="114" t="s">
        <v>477</v>
      </c>
      <c r="C43" s="198">
        <f>SUM(D43:F43)</f>
        <v>0</v>
      </c>
      <c r="D43" s="199">
        <v>0</v>
      </c>
      <c r="E43" s="199">
        <v>0</v>
      </c>
      <c r="F43" s="200">
        <v>0</v>
      </c>
      <c r="G43" s="196"/>
      <c r="H43" s="67"/>
      <c r="I43" s="67"/>
      <c r="J43" s="67"/>
      <c r="K43" s="67"/>
      <c r="L43" s="67"/>
      <c r="M43" s="67"/>
      <c r="N43" s="110"/>
      <c r="O43" s="67"/>
      <c r="P43" s="67"/>
      <c r="Q43" s="110"/>
      <c r="R43" s="67"/>
      <c r="S43" s="67"/>
    </row>
    <row r="44" ht="13.8" customHeight="1" hidden="1" spans="1:19" x14ac:dyDescent="0.25">
      <c r="A44" s="177"/>
      <c r="B44" s="114" t="s">
        <v>478</v>
      </c>
      <c r="C44" s="198">
        <f>SUM(D44:F44)</f>
        <v>0</v>
      </c>
      <c r="D44" s="199">
        <f>SALDOS!B178</f>
      </c>
      <c r="E44" s="199">
        <v>0</v>
      </c>
      <c r="F44" s="200">
        <v>0</v>
      </c>
      <c r="G44" s="196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</row>
    <row r="45" spans="1:19" x14ac:dyDescent="0.25">
      <c r="A45" s="177"/>
      <c r="B45" s="114" t="s">
        <v>479</v>
      </c>
      <c r="C45" s="198">
        <f>SUM(D45:F45)</f>
        <v>52270571.07</v>
      </c>
      <c r="D45" s="199">
        <v>0</v>
      </c>
      <c r="E45" s="199">
        <f>+SALDOS!B179</f>
        <v>52270571.07</v>
      </c>
      <c r="F45" s="200">
        <v>0</v>
      </c>
      <c r="G45" s="196"/>
      <c r="H45" s="110"/>
      <c r="I45" s="181" t="s">
        <v>480</v>
      </c>
      <c r="J45" s="208"/>
      <c r="K45" s="209">
        <f>3200+3115</f>
        <v>6315</v>
      </c>
      <c r="L45" s="209">
        <f>4800+1400+3115</f>
        <v>9315</v>
      </c>
      <c r="M45" s="209">
        <f>29395.55+31000.65</f>
        <v>60396.2</v>
      </c>
      <c r="N45" s="209"/>
      <c r="O45" s="209">
        <v>3180</v>
      </c>
      <c r="P45" s="208"/>
      <c r="Q45" s="210"/>
      <c r="R45" s="67"/>
      <c r="S45" s="67"/>
    </row>
    <row r="46" spans="1:19" x14ac:dyDescent="0.25">
      <c r="A46" s="177"/>
      <c r="B46" s="114" t="s">
        <v>481</v>
      </c>
      <c r="C46" s="198">
        <f>SUM(D46:F46)</f>
        <v>600000</v>
      </c>
      <c r="D46" s="199">
        <v>0</v>
      </c>
      <c r="E46" s="199">
        <f>+SALDOS!B201</f>
        <v>600000</v>
      </c>
      <c r="F46" s="200">
        <v>0</v>
      </c>
      <c r="G46" s="196"/>
      <c r="H46" s="67"/>
      <c r="I46" s="205"/>
      <c r="J46" s="202"/>
      <c r="K46" s="202"/>
      <c r="L46" s="202"/>
      <c r="M46" s="202"/>
      <c r="N46" s="202"/>
      <c r="O46" s="202"/>
      <c r="P46" s="202"/>
      <c r="Q46" s="206"/>
      <c r="R46" s="67"/>
      <c r="S46" s="67"/>
    </row>
    <row r="47" hidden="1" spans="1:19" x14ac:dyDescent="0.25">
      <c r="A47" s="177"/>
      <c r="B47" s="114" t="s">
        <v>482</v>
      </c>
      <c r="C47" s="198">
        <f>SUM(D47:F47)</f>
        <v>0</v>
      </c>
      <c r="D47" s="199">
        <v>0</v>
      </c>
      <c r="E47" s="199">
        <f>+SALDOS!B212</f>
      </c>
      <c r="F47" s="200">
        <v>0</v>
      </c>
      <c r="G47" s="196"/>
      <c r="H47" s="67"/>
      <c r="I47" s="205"/>
      <c r="J47" s="202"/>
      <c r="K47" s="202"/>
      <c r="L47" s="202"/>
      <c r="M47" s="202"/>
      <c r="N47" s="202"/>
      <c r="O47" s="202"/>
      <c r="P47" s="202"/>
      <c r="Q47" s="206"/>
      <c r="R47" s="67"/>
      <c r="S47" s="67"/>
    </row>
    <row r="48" hidden="1" spans="1:19" x14ac:dyDescent="0.25">
      <c r="A48" s="177"/>
      <c r="B48" s="114" t="s">
        <v>483</v>
      </c>
      <c r="C48" s="198">
        <f>SUM(D48:F48)</f>
        <v>0</v>
      </c>
      <c r="D48" s="199">
        <v>0</v>
      </c>
      <c r="E48" s="199">
        <f>+SALDOS!B193</f>
      </c>
      <c r="F48" s="200">
        <v>0</v>
      </c>
      <c r="G48" s="196"/>
      <c r="H48" s="67"/>
      <c r="I48" s="205"/>
      <c r="J48" s="202"/>
      <c r="K48" s="202"/>
      <c r="L48" s="202"/>
      <c r="M48" s="202"/>
      <c r="N48" s="202"/>
      <c r="O48" s="202"/>
      <c r="P48" s="202"/>
      <c r="Q48" s="206"/>
      <c r="R48" s="67"/>
      <c r="S48" s="67"/>
    </row>
    <row r="49" hidden="1" spans="1:19" x14ac:dyDescent="0.25">
      <c r="A49" s="177"/>
      <c r="B49" s="114" t="s">
        <v>484</v>
      </c>
      <c r="C49" s="198">
        <f>SUM(D49:F49)</f>
        <v>0</v>
      </c>
      <c r="D49" s="199">
        <v>0</v>
      </c>
      <c r="E49" s="199">
        <f>+SALDOS!B186</f>
      </c>
      <c r="F49" s="200">
        <v>0</v>
      </c>
      <c r="G49" s="196"/>
      <c r="H49" s="67"/>
      <c r="I49" s="205"/>
      <c r="J49" s="202"/>
      <c r="K49" s="202"/>
      <c r="L49" s="202"/>
      <c r="M49" s="202"/>
      <c r="N49" s="202"/>
      <c r="O49" s="202"/>
      <c r="P49" s="202"/>
      <c r="Q49" s="206"/>
      <c r="R49" s="67"/>
      <c r="S49" s="67"/>
    </row>
    <row r="50" hidden="1" spans="1:19" x14ac:dyDescent="0.25">
      <c r="A50" s="177"/>
      <c r="B50" s="114" t="s">
        <v>485</v>
      </c>
      <c r="C50" s="198">
        <f>SUM(D50:F50)</f>
        <v>0</v>
      </c>
      <c r="D50" s="199">
        <v>0</v>
      </c>
      <c r="E50" s="199">
        <f>+SALDOS!B203</f>
      </c>
      <c r="F50" s="200">
        <v>0</v>
      </c>
      <c r="G50" s="196"/>
      <c r="H50" s="67"/>
      <c r="I50" s="205" t="s">
        <v>486</v>
      </c>
      <c r="J50" s="201"/>
      <c r="K50" s="201"/>
      <c r="L50" s="201"/>
      <c r="M50" s="202">
        <f>+C50</f>
        <v>0</v>
      </c>
      <c r="N50" s="202"/>
      <c r="O50" s="201"/>
      <c r="P50" s="201"/>
      <c r="Q50" s="206"/>
      <c r="R50" s="67"/>
      <c r="S50" s="67"/>
    </row>
    <row r="51" hidden="1" spans="1:19" x14ac:dyDescent="0.25">
      <c r="A51" s="177"/>
      <c r="B51" s="114" t="s">
        <v>487</v>
      </c>
      <c r="C51" s="198">
        <f>SUM(D51:F51)</f>
        <v>0</v>
      </c>
      <c r="D51" s="199">
        <v>0</v>
      </c>
      <c r="E51" s="199">
        <f>+SALDOS!B229</f>
      </c>
      <c r="F51" s="200">
        <v>0</v>
      </c>
      <c r="G51" s="196"/>
      <c r="H51" s="67"/>
      <c r="I51" s="205"/>
      <c r="J51" s="201"/>
      <c r="K51" s="201"/>
      <c r="L51" s="201"/>
      <c r="M51" s="202"/>
      <c r="N51" s="202"/>
      <c r="O51" s="201"/>
      <c r="P51" s="201"/>
      <c r="Q51" s="206"/>
      <c r="R51" s="67"/>
      <c r="S51" s="67"/>
    </row>
    <row r="52" spans="1:19" x14ac:dyDescent="0.25">
      <c r="A52" s="177"/>
      <c r="B52" s="114" t="s">
        <v>488</v>
      </c>
      <c r="C52" s="198">
        <f>SUM(D52:F52)</f>
        <v>-5080374</v>
      </c>
      <c r="D52" s="199">
        <v>0</v>
      </c>
      <c r="E52" s="199">
        <f>+SALDOS!B192-SALDOS!C192+SALDOS!B157-SALDOS!C157</f>
        <v>-5080374</v>
      </c>
      <c r="F52" s="200">
        <v>0</v>
      </c>
      <c r="G52" s="196"/>
      <c r="H52" s="67"/>
      <c r="I52" s="205" t="s">
        <v>489</v>
      </c>
      <c r="J52" s="201"/>
      <c r="K52" s="201"/>
      <c r="L52" s="201"/>
      <c r="M52" s="202">
        <f>+C52</f>
        <v>-5080374</v>
      </c>
      <c r="N52" s="202"/>
      <c r="O52" s="201"/>
      <c r="P52" s="201"/>
      <c r="Q52" s="206"/>
      <c r="R52" s="67" t="s">
        <v>490</v>
      </c>
      <c r="S52" s="67"/>
    </row>
    <row r="53" hidden="1" spans="1:19" x14ac:dyDescent="0.25">
      <c r="A53" s="177"/>
      <c r="B53" s="114" t="s">
        <v>491</v>
      </c>
      <c r="C53" s="198">
        <f>SUM(D53:F53)</f>
        <v>0</v>
      </c>
      <c r="D53" s="199">
        <f>+SALDOS!B153</f>
        <v>0</v>
      </c>
      <c r="E53" s="199">
        <v>0</v>
      </c>
      <c r="F53" s="200">
        <v>0</v>
      </c>
      <c r="G53" s="196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</row>
    <row r="54" spans="1:19" x14ac:dyDescent="0.25">
      <c r="A54" s="177"/>
      <c r="B54" s="114" t="s">
        <v>492</v>
      </c>
      <c r="C54" s="198">
        <f>SUM(D54:F54)</f>
        <v>5380203.41</v>
      </c>
      <c r="D54" s="199">
        <f>+SALDOS!B168</f>
        <v>5380203.41</v>
      </c>
      <c r="E54" s="199">
        <v>0</v>
      </c>
      <c r="F54" s="200">
        <v>0</v>
      </c>
      <c r="G54" s="196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</row>
    <row r="55" hidden="1" spans="1:19" x14ac:dyDescent="0.25">
      <c r="A55" s="177"/>
      <c r="B55" s="114" t="s">
        <v>493</v>
      </c>
      <c r="C55" s="198">
        <f>SUM(D55:F55)</f>
        <v>0</v>
      </c>
      <c r="D55" s="199">
        <v>0</v>
      </c>
      <c r="E55" s="199">
        <f>+SALDOS!B195-SALDOS!C195</f>
      </c>
      <c r="F55" s="200">
        <v>0</v>
      </c>
      <c r="G55" s="196"/>
      <c r="H55" s="67"/>
      <c r="I55" s="205" t="s">
        <v>494</v>
      </c>
      <c r="J55" s="202">
        <v>1949.3366666666668</v>
      </c>
      <c r="K55" s="202">
        <v>1949.3366666666668</v>
      </c>
      <c r="L55" s="202">
        <v>1949.3366666666668</v>
      </c>
      <c r="M55" s="201"/>
      <c r="N55" s="202"/>
      <c r="O55" s="201"/>
      <c r="P55" s="201"/>
      <c r="Q55" s="206"/>
      <c r="R55" s="67"/>
      <c r="S55" s="67"/>
    </row>
    <row r="56" hidden="1" spans="1:19" x14ac:dyDescent="0.25">
      <c r="A56" s="177"/>
      <c r="B56" s="114" t="s">
        <v>495</v>
      </c>
      <c r="C56" s="198">
        <f>SUM(D56:F56)</f>
        <v>0</v>
      </c>
      <c r="D56" s="199">
        <v>0</v>
      </c>
      <c r="E56" s="199">
        <f>+SALDOS!B137-SALDOS!C137-SALDOS!C188</f>
      </c>
      <c r="F56" s="200">
        <v>0</v>
      </c>
      <c r="G56" s="196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</row>
    <row r="57" hidden="1" spans="1:19" x14ac:dyDescent="0.25">
      <c r="A57" s="177"/>
      <c r="B57" s="114" t="s">
        <v>496</v>
      </c>
      <c r="C57" s="198">
        <f>SUM(D57:F57)</f>
        <v>0</v>
      </c>
      <c r="D57" s="199">
        <v>0</v>
      </c>
      <c r="E57" s="199">
        <v>0</v>
      </c>
      <c r="F57" s="200">
        <v>0</v>
      </c>
      <c r="G57" s="196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</row>
    <row r="58" hidden="1" spans="1:19" x14ac:dyDescent="0.25">
      <c r="A58" s="177"/>
      <c r="B58" s="114" t="s">
        <v>497</v>
      </c>
      <c r="C58" s="198">
        <f>SUM(D58:F58)</f>
        <v>0</v>
      </c>
      <c r="D58" s="199">
        <f>+SALDOS!B202</f>
      </c>
      <c r="E58" s="199">
        <f>+SALDOS!B207</f>
      </c>
      <c r="F58" s="200">
        <v>0</v>
      </c>
      <c r="G58" s="196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</row>
    <row r="59" hidden="1" spans="1:19" x14ac:dyDescent="0.25">
      <c r="A59" s="177"/>
      <c r="B59" s="114" t="s">
        <v>498</v>
      </c>
      <c r="C59" s="198">
        <f>SUM(D59:F59)</f>
        <v>0</v>
      </c>
      <c r="D59" s="199">
        <f>+SALDOS!B150</f>
        <v>0</v>
      </c>
      <c r="E59" s="199">
        <v>0</v>
      </c>
      <c r="F59" s="200">
        <v>0</v>
      </c>
      <c r="G59" s="196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</row>
    <row r="60" hidden="1" spans="1:19" x14ac:dyDescent="0.25">
      <c r="A60" s="177"/>
      <c r="B60" s="114" t="s">
        <v>499</v>
      </c>
      <c r="C60" s="198">
        <f>SUM(D60:F60)</f>
        <v>0</v>
      </c>
      <c r="D60" s="199">
        <f>+SALDOS!B146</f>
        <v>0</v>
      </c>
      <c r="E60" s="199">
        <v>0</v>
      </c>
      <c r="F60" s="200">
        <v>0</v>
      </c>
      <c r="G60" s="196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</row>
    <row r="61" spans="1:19" x14ac:dyDescent="0.25">
      <c r="A61" s="177"/>
      <c r="B61" s="114" t="s">
        <v>500</v>
      </c>
      <c r="C61" s="198">
        <f>SUM(D61:F61)</f>
        <v>297043.66000000003</v>
      </c>
      <c r="D61" s="199">
        <f>SALDOS!B188</f>
        <v>297043.66000000003</v>
      </c>
      <c r="E61" s="199">
        <v>0</v>
      </c>
      <c r="F61" s="200">
        <v>0</v>
      </c>
      <c r="G61" s="196"/>
      <c r="H61" s="67"/>
      <c r="I61" s="205" t="s">
        <v>501</v>
      </c>
      <c r="J61" s="202">
        <f>+C59</f>
        <v>0</v>
      </c>
      <c r="K61" s="202">
        <f>+C61</f>
        <v>297043.66000000003</v>
      </c>
      <c r="L61" s="202"/>
      <c r="M61" s="202"/>
      <c r="N61" s="202"/>
      <c r="O61" s="203"/>
      <c r="P61" s="202">
        <f>+C46</f>
        <v>600000</v>
      </c>
      <c r="Q61" s="206"/>
      <c r="R61" s="67"/>
      <c r="S61" s="67"/>
    </row>
    <row r="62" hidden="1" spans="1:19" x14ac:dyDescent="0.25">
      <c r="A62" s="177"/>
      <c r="B62" s="114" t="s">
        <v>502</v>
      </c>
      <c r="C62" s="198">
        <f>SUM(D62:F62)</f>
        <v>0</v>
      </c>
      <c r="D62" s="199">
        <v>0</v>
      </c>
      <c r="E62" s="199">
        <f>+SALDOS!B159-SALDOS!C159</f>
        <v>0</v>
      </c>
      <c r="F62" s="200">
        <v>0</v>
      </c>
      <c r="G62" s="196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</row>
    <row r="63" hidden="1" spans="1:19" x14ac:dyDescent="0.25">
      <c r="A63" s="177"/>
      <c r="B63" s="114" t="s">
        <v>452</v>
      </c>
      <c r="C63" s="198">
        <f>SUM(D63:F63)</f>
        <v>0</v>
      </c>
      <c r="D63" s="199">
        <v>0</v>
      </c>
      <c r="E63" s="199">
        <f>+SALDOS!B214-SALDOS!C214</f>
      </c>
      <c r="F63" s="200">
        <v>0</v>
      </c>
      <c r="G63" s="196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</row>
    <row r="64" spans="1:19" x14ac:dyDescent="0.25">
      <c r="A64" s="177"/>
      <c r="B64" s="114" t="s">
        <v>503</v>
      </c>
      <c r="C64" s="198">
        <f>SUM(D64:F64)</f>
        <v>1716928.19</v>
      </c>
      <c r="D64" s="199">
        <v>0</v>
      </c>
      <c r="E64" s="199">
        <v>0</v>
      </c>
      <c r="F64" s="200">
        <f>+SALDOS!B222-SALDOS!C222+SALDOS!B233</f>
        <v>1716928.19</v>
      </c>
      <c r="G64" s="196"/>
      <c r="H64" s="67"/>
      <c r="I64" s="205" t="s">
        <v>504</v>
      </c>
      <c r="J64" s="202">
        <f>+C64</f>
        <v>1716928.19</v>
      </c>
      <c r="K64" s="202"/>
      <c r="L64" s="202"/>
      <c r="M64" s="201"/>
      <c r="N64" s="202"/>
      <c r="O64" s="201"/>
      <c r="P64" s="201"/>
      <c r="Q64" s="211"/>
      <c r="R64" s="67"/>
      <c r="S64" s="67"/>
    </row>
    <row r="65" hidden="1" spans="1:19" x14ac:dyDescent="0.25">
      <c r="A65" s="177"/>
      <c r="B65" s="114" t="s">
        <v>505</v>
      </c>
      <c r="C65" s="198">
        <f>SUM(D65:F65)</f>
        <v>0</v>
      </c>
      <c r="D65" s="199">
        <f>-SALDOS!C149</f>
        <v>0</v>
      </c>
      <c r="E65" s="199">
        <v>0</v>
      </c>
      <c r="F65" s="200">
        <v>0</v>
      </c>
      <c r="G65" s="196"/>
      <c r="H65" s="67"/>
      <c r="I65" s="67"/>
      <c r="J65" s="110"/>
      <c r="K65" s="110"/>
      <c r="L65" s="110"/>
      <c r="M65" s="67"/>
      <c r="N65" s="110"/>
      <c r="O65" s="67"/>
      <c r="P65" s="67"/>
      <c r="Q65" s="110"/>
      <c r="R65" s="67"/>
      <c r="S65" s="67"/>
    </row>
    <row r="66" hidden="1" spans="1:19" x14ac:dyDescent="0.25">
      <c r="A66" s="177"/>
      <c r="B66" s="114" t="s">
        <v>506</v>
      </c>
      <c r="C66" s="198">
        <f>SUM(D66:F66)</f>
        <v>0</v>
      </c>
      <c r="D66" s="199">
        <f>+SALDOS!B170</f>
        <v>0</v>
      </c>
      <c r="E66" s="199">
        <v>0</v>
      </c>
      <c r="F66" s="200">
        <v>0</v>
      </c>
      <c r="G66" s="196"/>
      <c r="H66" s="67"/>
      <c r="I66" s="67"/>
      <c r="J66" s="110"/>
      <c r="K66" s="110"/>
      <c r="L66" s="110"/>
      <c r="M66" s="67"/>
      <c r="N66" s="110"/>
      <c r="O66" s="67"/>
      <c r="P66" s="67"/>
      <c r="Q66" s="110"/>
      <c r="R66" s="67"/>
      <c r="S66" s="67"/>
    </row>
    <row r="67" hidden="1" spans="1:19" x14ac:dyDescent="0.25">
      <c r="A67" s="177"/>
      <c r="B67" s="114" t="s">
        <v>507</v>
      </c>
      <c r="C67" s="198">
        <f>SUM(D67:F67)</f>
        <v>0</v>
      </c>
      <c r="D67" s="199">
        <f>+SALDOS!B171</f>
        <v>0</v>
      </c>
      <c r="E67" s="199">
        <v>0</v>
      </c>
      <c r="F67" s="200">
        <v>0</v>
      </c>
      <c r="G67" s="196"/>
      <c r="H67" s="67"/>
      <c r="I67" s="67"/>
      <c r="J67" s="110"/>
      <c r="K67" s="110"/>
      <c r="L67" s="110"/>
      <c r="M67" s="67"/>
      <c r="N67" s="110"/>
      <c r="O67" s="67"/>
      <c r="P67" s="67"/>
      <c r="Q67" s="110"/>
      <c r="R67" s="67"/>
      <c r="S67" s="67"/>
    </row>
    <row r="68" hidden="1" spans="1:19" x14ac:dyDescent="0.25">
      <c r="A68" s="177"/>
      <c r="B68" s="114" t="s">
        <v>508</v>
      </c>
      <c r="C68" s="198">
        <f>SUM(D68:F68)</f>
        <v>0</v>
      </c>
      <c r="D68" s="199">
        <f>+SALDOS!B172</f>
        <v>0</v>
      </c>
      <c r="E68" s="199">
        <v>0</v>
      </c>
      <c r="F68" s="200">
        <v>0</v>
      </c>
      <c r="G68" s="196"/>
      <c r="H68" s="67"/>
      <c r="I68" s="67"/>
      <c r="J68" s="110"/>
      <c r="K68" s="110"/>
      <c r="L68" s="110"/>
      <c r="M68" s="67"/>
      <c r="N68" s="110"/>
      <c r="O68" s="67"/>
      <c r="P68" s="67"/>
      <c r="Q68" s="110"/>
      <c r="R68" s="67"/>
      <c r="S68" s="67"/>
    </row>
    <row r="69" hidden="1" spans="1:19" x14ac:dyDescent="0.25">
      <c r="A69" s="177"/>
      <c r="B69" s="114" t="s">
        <v>509</v>
      </c>
      <c r="C69" s="198">
        <f>SUM(D69:F69)</f>
        <v>0</v>
      </c>
      <c r="D69" s="199">
        <v>0</v>
      </c>
      <c r="E69" s="199">
        <f>+SALDOS!B151</f>
        <v>0</v>
      </c>
      <c r="F69" s="200">
        <v>0</v>
      </c>
      <c r="G69" s="196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</row>
    <row r="70" spans="1:19" x14ac:dyDescent="0.25">
      <c r="A70" s="177"/>
      <c r="B70" s="114" t="s">
        <v>510</v>
      </c>
      <c r="C70" s="198">
        <f>SUM(D70:F70)</f>
        <v>4577701.12</v>
      </c>
      <c r="D70" s="199">
        <v>0</v>
      </c>
      <c r="E70" s="199">
        <f>+SALDOS!B140</f>
        <v>4577701.12</v>
      </c>
      <c r="F70" s="200">
        <v>0</v>
      </c>
      <c r="G70" s="196"/>
      <c r="H70" s="67"/>
      <c r="I70" s="205" t="s">
        <v>511</v>
      </c>
      <c r="J70" s="202">
        <f>9400+850+550</f>
        <v>10800</v>
      </c>
      <c r="K70" s="202">
        <f>850+700</f>
        <v>1550</v>
      </c>
      <c r="L70" s="202"/>
      <c r="M70" s="201"/>
      <c r="N70" s="202"/>
      <c r="O70" s="201"/>
      <c r="P70" s="201"/>
      <c r="Q70" s="211"/>
      <c r="R70" s="67"/>
      <c r="S70" s="67"/>
    </row>
    <row r="71" hidden="1" spans="1:19" x14ac:dyDescent="0.25">
      <c r="A71" s="177"/>
      <c r="B71" s="114" t="s">
        <v>512</v>
      </c>
      <c r="C71" s="198">
        <f>SUM(D71:F71)</f>
        <v>0</v>
      </c>
      <c r="D71" s="199">
        <v>0</v>
      </c>
      <c r="E71" s="199">
        <f>+SALDOS!B169</f>
        <v>0</v>
      </c>
      <c r="F71" s="200">
        <v>0</v>
      </c>
      <c r="G71" s="196"/>
      <c r="H71" s="67"/>
      <c r="I71" s="67"/>
      <c r="J71" s="110"/>
      <c r="K71" s="110"/>
      <c r="L71" s="110"/>
      <c r="M71" s="67"/>
      <c r="N71" s="110"/>
      <c r="O71" s="67"/>
      <c r="P71" s="67"/>
      <c r="Q71" s="110"/>
      <c r="R71" s="67"/>
      <c r="S71" s="67"/>
    </row>
    <row r="72" hidden="1" spans="1:19" x14ac:dyDescent="0.25">
      <c r="A72" s="177"/>
      <c r="B72" s="114" t="s">
        <v>513</v>
      </c>
      <c r="C72" s="198">
        <f>SUM(D72:F72)</f>
        <v>0</v>
      </c>
      <c r="D72" s="199">
        <v>0</v>
      </c>
      <c r="E72" s="199">
        <v>0</v>
      </c>
      <c r="F72" s="200">
        <f>+SALDOS!B224</f>
      </c>
      <c r="G72" s="196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</row>
    <row r="73" hidden="1" spans="1:19" x14ac:dyDescent="0.25">
      <c r="A73" s="177"/>
      <c r="B73" s="114" t="s">
        <v>514</v>
      </c>
      <c r="C73" s="198">
        <f>SUM(D73:F73)</f>
        <v>0</v>
      </c>
      <c r="D73" s="199">
        <v>0</v>
      </c>
      <c r="E73" s="199">
        <v>0</v>
      </c>
      <c r="F73" s="200">
        <f>+SALDOS!B223</f>
      </c>
      <c r="G73" s="196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</row>
    <row r="74" hidden="1" spans="1:19" x14ac:dyDescent="0.25">
      <c r="A74" s="177"/>
      <c r="B74" s="114" t="s">
        <v>515</v>
      </c>
      <c r="C74" s="198">
        <f>SUM(D74:F74)</f>
        <v>0</v>
      </c>
      <c r="D74" s="199">
        <v>0</v>
      </c>
      <c r="E74" s="199">
        <v>0</v>
      </c>
      <c r="F74" s="200">
        <v>0</v>
      </c>
      <c r="G74" s="196"/>
      <c r="H74" s="67"/>
      <c r="I74" s="205" t="s">
        <v>516</v>
      </c>
      <c r="J74" s="202">
        <f>+$C$18/3+C74</f>
        <v>24148.74</v>
      </c>
      <c r="K74" s="202">
        <f>+$C$18/3</f>
        <v>24148.74</v>
      </c>
      <c r="L74" s="202">
        <f>+$C$18/3</f>
        <v>24148.74</v>
      </c>
      <c r="M74" s="201"/>
      <c r="N74" s="202"/>
      <c r="O74" s="201"/>
      <c r="P74" s="201"/>
      <c r="Q74" s="206"/>
      <c r="R74" s="67"/>
      <c r="S74" s="67"/>
    </row>
    <row r="75" spans="1:19" x14ac:dyDescent="0.25">
      <c r="A75" s="177"/>
      <c r="B75" s="114" t="s">
        <v>517</v>
      </c>
      <c r="C75" s="198">
        <f>SUM(D75:F75)</f>
        <v>17725.23</v>
      </c>
      <c r="D75" s="199">
        <f>-SALDOS!C225</f>
      </c>
      <c r="E75" s="199">
        <v>0</v>
      </c>
      <c r="F75" s="200">
        <f>+SALDOS!B225</f>
        <v>17725.23</v>
      </c>
      <c r="G75" s="196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</row>
    <row r="76" hidden="1" spans="1:19" x14ac:dyDescent="0.25">
      <c r="A76" s="177"/>
      <c r="B76" s="114" t="s">
        <v>518</v>
      </c>
      <c r="C76" s="198">
        <f>SUM(D76:F76)</f>
        <v>0</v>
      </c>
      <c r="D76" s="199">
        <v>0</v>
      </c>
      <c r="E76" s="199">
        <v>0</v>
      </c>
      <c r="F76" s="200">
        <f>+SALDOS!B227</f>
      </c>
      <c r="G76" s="196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</row>
    <row r="77" hidden="1" spans="1:19" x14ac:dyDescent="0.25">
      <c r="A77" s="177"/>
      <c r="B77" s="114" t="s">
        <v>519</v>
      </c>
      <c r="C77" s="198">
        <f>SUM(D77:F77)</f>
        <v>0</v>
      </c>
      <c r="D77" s="199">
        <v>0</v>
      </c>
      <c r="E77" s="199">
        <v>0</v>
      </c>
      <c r="F77" s="200">
        <f>+SALDOS!B228</f>
      </c>
      <c r="G77" s="196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</row>
    <row r="78" hidden="1" spans="1:19" x14ac:dyDescent="0.25">
      <c r="A78" s="177"/>
      <c r="B78" s="114" t="s">
        <v>520</v>
      </c>
      <c r="C78" s="198">
        <f>SUM(D78:F78)</f>
        <v>0</v>
      </c>
      <c r="D78" s="199">
        <f>+SALDOS!B213</f>
      </c>
      <c r="E78" s="199">
        <v>0</v>
      </c>
      <c r="F78" s="200">
        <v>0</v>
      </c>
      <c r="G78" s="196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</row>
    <row r="79" hidden="1" spans="1:19" x14ac:dyDescent="0.25">
      <c r="A79" s="177"/>
      <c r="B79" s="114" t="s">
        <v>521</v>
      </c>
      <c r="C79" s="198">
        <f>SUM(D79:F79)</f>
        <v>0</v>
      </c>
      <c r="D79" s="199">
        <f>+SALDOS!B142-SALDOS!C142</f>
        <v>0</v>
      </c>
      <c r="E79" s="199">
        <v>0</v>
      </c>
      <c r="F79" s="200">
        <v>0</v>
      </c>
      <c r="G79" s="196"/>
      <c r="H79" s="67"/>
      <c r="I79" s="205" t="s">
        <v>522</v>
      </c>
      <c r="J79" s="202">
        <f>213.333333333333+500</f>
        <v>713.333333333333</v>
      </c>
      <c r="K79" s="202">
        <f>213.333333333333+500</f>
        <v>713.333333333333</v>
      </c>
      <c r="L79" s="202">
        <f>213.333333333333+17.55</f>
        <v>230.883333333333</v>
      </c>
      <c r="M79" s="201"/>
      <c r="N79" s="202"/>
      <c r="O79" s="201"/>
      <c r="P79" s="201"/>
      <c r="Q79" s="206"/>
      <c r="R79" s="67" t="s">
        <v>523</v>
      </c>
      <c r="S79" s="67"/>
    </row>
    <row r="80" hidden="1" spans="1:19" x14ac:dyDescent="0.25">
      <c r="A80" s="177"/>
      <c r="B80" s="114" t="s">
        <v>524</v>
      </c>
      <c r="C80" s="198">
        <f>SUM(D80:F80)</f>
        <v>0</v>
      </c>
      <c r="D80" s="199">
        <f>+SALDOS!B158</f>
        <v>0</v>
      </c>
      <c r="E80" s="199">
        <v>0</v>
      </c>
      <c r="F80" s="200">
        <v>0</v>
      </c>
      <c r="G80" s="196"/>
      <c r="H80" s="67"/>
      <c r="I80" s="201" t="s">
        <v>525</v>
      </c>
      <c r="J80" s="202">
        <v>270</v>
      </c>
      <c r="K80" s="202"/>
      <c r="L80" s="202"/>
      <c r="M80" s="201"/>
      <c r="N80" s="202"/>
      <c r="O80" s="201"/>
      <c r="P80" s="201"/>
      <c r="Q80" s="202"/>
      <c r="R80" s="67"/>
      <c r="S80" s="67"/>
    </row>
    <row r="81" hidden="1" spans="1:19" x14ac:dyDescent="0.25">
      <c r="A81" s="177"/>
      <c r="B81" s="114" t="s">
        <v>526</v>
      </c>
      <c r="C81" s="198">
        <f>SUM(D81:F81)</f>
        <v>0</v>
      </c>
      <c r="D81" s="199">
        <v>0</v>
      </c>
      <c r="E81" s="199">
        <f>+SALDOS!B177-SALDOS!C177</f>
      </c>
      <c r="F81" s="200">
        <v>0</v>
      </c>
      <c r="G81" s="196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</row>
    <row r="82" hidden="1" spans="1:19" x14ac:dyDescent="0.25">
      <c r="A82" s="177"/>
      <c r="B82" s="114" t="s">
        <v>527</v>
      </c>
      <c r="C82" s="198">
        <f>SUM(D82:F82)</f>
        <v>0</v>
      </c>
      <c r="D82" s="199">
        <v>0</v>
      </c>
      <c r="E82" s="199">
        <f>+SALDOS!B208</f>
      </c>
      <c r="F82" s="200">
        <v>0</v>
      </c>
      <c r="G82" s="196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</row>
    <row r="83" spans="1:19" x14ac:dyDescent="0.25">
      <c r="A83" s="177"/>
      <c r="B83" s="114" t="s">
        <v>528</v>
      </c>
      <c r="C83" s="198">
        <f>SUM(D83:F83)</f>
        <v>508928</v>
      </c>
      <c r="D83" s="199">
        <v>0</v>
      </c>
      <c r="E83" s="199">
        <f>+SALDOS!B156</f>
        <v>508928</v>
      </c>
      <c r="F83" s="200">
        <v>0</v>
      </c>
      <c r="G83" s="196"/>
      <c r="H83" s="67"/>
      <c r="I83" s="201" t="s">
        <v>529</v>
      </c>
      <c r="J83" s="202">
        <f>+C60</f>
        <v>0</v>
      </c>
      <c r="K83" s="202">
        <v>250</v>
      </c>
      <c r="L83" s="202">
        <f>595-250</f>
        <v>345</v>
      </c>
      <c r="M83" s="201"/>
      <c r="N83" s="202"/>
      <c r="O83" s="201"/>
      <c r="P83" s="201"/>
      <c r="Q83" s="202"/>
      <c r="R83" s="67"/>
      <c r="S83" s="67"/>
    </row>
    <row r="84" hidden="1" spans="1:19" x14ac:dyDescent="0.25">
      <c r="A84" s="177"/>
      <c r="B84" s="114" t="s">
        <v>530</v>
      </c>
      <c r="C84" s="198">
        <f>SUM(D84:F84)</f>
        <v>0</v>
      </c>
      <c r="D84" s="199"/>
      <c r="E84" s="199">
        <f>+SALDOS!B180</f>
      </c>
      <c r="F84" s="200">
        <v>0</v>
      </c>
      <c r="G84" s="196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</row>
    <row r="85" hidden="1" spans="1:19" x14ac:dyDescent="0.25">
      <c r="A85" s="177"/>
      <c r="B85" s="114" t="s">
        <v>531</v>
      </c>
      <c r="C85" s="198">
        <f>SUM(D85:F85)</f>
        <v>0</v>
      </c>
      <c r="D85" s="199"/>
      <c r="E85" s="199">
        <f>+SALDOS!B181</f>
      </c>
      <c r="F85" s="200">
        <v>0</v>
      </c>
      <c r="G85" s="196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</row>
    <row r="86" hidden="1" spans="1:19" x14ac:dyDescent="0.25">
      <c r="A86" s="177"/>
      <c r="B86" s="114" t="s">
        <v>532</v>
      </c>
      <c r="C86" s="198">
        <f>SUM(D86:F86)</f>
        <v>0</v>
      </c>
      <c r="D86" s="199">
        <f>-SALDOS!C155</f>
        <v>0</v>
      </c>
      <c r="E86" s="199">
        <v>0</v>
      </c>
      <c r="F86" s="200">
        <v>0</v>
      </c>
      <c r="G86" s="196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</row>
    <row r="87" hidden="1" spans="1:19" x14ac:dyDescent="0.25">
      <c r="A87" s="177"/>
      <c r="B87" s="114" t="s">
        <v>533</v>
      </c>
      <c r="C87" s="198">
        <f>SUM(D87:F87)</f>
        <v>0</v>
      </c>
      <c r="D87" s="199">
        <f>+SALDOS!B184</f>
      </c>
      <c r="E87" s="199">
        <v>0</v>
      </c>
      <c r="F87" s="200">
        <v>0</v>
      </c>
      <c r="G87" s="196"/>
      <c r="H87" s="67"/>
      <c r="I87" s="201" t="s">
        <v>534</v>
      </c>
      <c r="J87" s="202">
        <v>3500</v>
      </c>
      <c r="K87" s="202">
        <v>3500</v>
      </c>
      <c r="L87" s="202"/>
      <c r="M87" s="201"/>
      <c r="N87" s="202"/>
      <c r="O87" s="201"/>
      <c r="P87" s="201"/>
      <c r="Q87" s="202"/>
      <c r="R87" s="67"/>
      <c r="S87" s="67"/>
    </row>
    <row r="88" hidden="1" spans="1:19" x14ac:dyDescent="0.25">
      <c r="A88" s="177"/>
      <c r="B88" s="114" t="s">
        <v>535</v>
      </c>
      <c r="C88" s="198">
        <f>SUM(D88:F88)</f>
        <v>0</v>
      </c>
      <c r="D88" s="199">
        <v>0</v>
      </c>
      <c r="E88" s="199">
        <v>0</v>
      </c>
      <c r="F88" s="200">
        <v>0</v>
      </c>
      <c r="G88" s="196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</row>
    <row r="89" hidden="1" spans="1:19" x14ac:dyDescent="0.25">
      <c r="A89" s="177"/>
      <c r="B89" s="114" t="s">
        <v>536</v>
      </c>
      <c r="C89" s="198">
        <f>SUM(D89:F89)</f>
        <v>0</v>
      </c>
      <c r="D89" s="199">
        <f>+SALDOS!B138-SALDOS!C138</f>
        <v>0</v>
      </c>
      <c r="E89" s="199">
        <v>0</v>
      </c>
      <c r="F89" s="200">
        <v>0</v>
      </c>
      <c r="G89" s="196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</row>
    <row r="90" spans="1:19" x14ac:dyDescent="0.25">
      <c r="A90" s="177"/>
      <c r="B90" s="114" t="s">
        <v>537</v>
      </c>
      <c r="C90" s="198">
        <f>SUM(D90:F90)</f>
        <v>873100</v>
      </c>
      <c r="D90" s="199">
        <v>0</v>
      </c>
      <c r="E90" s="199">
        <f>-SALDOS!C194+SALDOS!B194</f>
        <v>873100</v>
      </c>
      <c r="F90" s="200">
        <v>0</v>
      </c>
      <c r="G90" s="196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</row>
    <row r="91" hidden="1" spans="1:19" x14ac:dyDescent="0.25">
      <c r="A91" s="177"/>
      <c r="B91" s="114" t="s">
        <v>499</v>
      </c>
      <c r="C91" s="198">
        <f>SUM(D91:F91)</f>
        <v>0</v>
      </c>
      <c r="D91" s="199">
        <f>-SALDOS!C146</f>
        <v>0</v>
      </c>
      <c r="E91" s="199">
        <v>0</v>
      </c>
      <c r="F91" s="200">
        <v>0</v>
      </c>
      <c r="G91" s="196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</row>
    <row r="92" spans="1:19" x14ac:dyDescent="0.25">
      <c r="A92" s="177"/>
      <c r="B92" s="114" t="s">
        <v>538</v>
      </c>
      <c r="C92" s="198">
        <f>SUM(D92:F92)</f>
        <v>-1475516.71</v>
      </c>
      <c r="D92" s="199">
        <v>0</v>
      </c>
      <c r="E92" s="199">
        <f>+SALDOS!B196-SALDOS!C196</f>
        <v>-1475516.71</v>
      </c>
      <c r="F92" s="200">
        <v>0</v>
      </c>
      <c r="G92" s="196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</row>
    <row r="93" hidden="1" spans="1:19" x14ac:dyDescent="0.25">
      <c r="A93" s="177"/>
      <c r="B93" s="114" t="s">
        <v>539</v>
      </c>
      <c r="C93" s="198">
        <f>SUM(D93:F93)</f>
        <v>0</v>
      </c>
      <c r="D93" s="199">
        <v>0</v>
      </c>
      <c r="E93" s="199">
        <f>+SALDOS!B210</f>
      </c>
      <c r="F93" s="200">
        <v>0</v>
      </c>
      <c r="G93" s="196"/>
      <c r="H93" s="67"/>
      <c r="I93" s="201" t="s">
        <v>540</v>
      </c>
      <c r="J93" s="202">
        <v>546.19</v>
      </c>
      <c r="K93" s="202">
        <f>723.69-546.19</f>
        <v>177.5</v>
      </c>
      <c r="L93" s="202"/>
      <c r="M93" s="201"/>
      <c r="N93" s="202"/>
      <c r="O93" s="201"/>
      <c r="P93" s="201"/>
      <c r="Q93" s="202"/>
      <c r="R93" s="67" t="s">
        <v>541</v>
      </c>
      <c r="S93" s="67"/>
    </row>
    <row r="94" spans="1:19" x14ac:dyDescent="0.25">
      <c r="A94" s="177"/>
      <c r="B94" s="114" t="s">
        <v>542</v>
      </c>
      <c r="C94" s="198">
        <f>SUM(D94:F94)</f>
        <v>-26554548.25</v>
      </c>
      <c r="D94" s="199">
        <v>0</v>
      </c>
      <c r="E94" s="199">
        <f>+SALDOS!B185-SALDOS!C185</f>
        <v>-26554548.25</v>
      </c>
      <c r="F94" s="200">
        <v>0</v>
      </c>
      <c r="G94" s="196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</row>
    <row r="95" hidden="1" spans="1:19" x14ac:dyDescent="0.25">
      <c r="A95" s="177"/>
      <c r="B95" s="114" t="s">
        <v>537</v>
      </c>
      <c r="C95" s="198">
        <f>SUM(D95:F95)</f>
        <v>0</v>
      </c>
      <c r="D95" s="199">
        <v>0</v>
      </c>
      <c r="E95" s="110">
        <v>0</v>
      </c>
      <c r="F95" s="200">
        <v>0</v>
      </c>
      <c r="G95" s="196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</row>
    <row r="96" ht="13.8" customHeight="1" spans="1:19" x14ac:dyDescent="0.25">
      <c r="A96" s="177"/>
      <c r="B96" s="114" t="s">
        <v>543</v>
      </c>
      <c r="C96" s="198">
        <f>SUM(D96:F96)</f>
        <v>7949700</v>
      </c>
      <c r="D96" s="199">
        <v>0</v>
      </c>
      <c r="E96" s="199">
        <f>+SALDOS!B154-SALDOS!C154</f>
        <v>7949700</v>
      </c>
      <c r="F96" s="200">
        <v>0</v>
      </c>
      <c r="G96" s="196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</row>
    <row r="97" hidden="1" spans="1:19" x14ac:dyDescent="0.25">
      <c r="A97" s="177"/>
      <c r="B97" s="114" t="s">
        <v>544</v>
      </c>
      <c r="C97" s="198">
        <f>SUM(D97:F97)</f>
        <v>0</v>
      </c>
      <c r="D97" s="199">
        <f>+SALDOS!B190</f>
      </c>
      <c r="E97" s="199">
        <v>0</v>
      </c>
      <c r="F97" s="200">
        <v>0</v>
      </c>
      <c r="G97" s="196"/>
      <c r="H97" s="67"/>
      <c r="I97" s="201" t="s">
        <v>545</v>
      </c>
      <c r="J97" s="202"/>
      <c r="K97" s="202">
        <f>37+14+36.5+E84+88</f>
        <v>175.5</v>
      </c>
      <c r="L97" s="202">
        <f>302.7-37+63</f>
        <v>328.7</v>
      </c>
      <c r="M97" s="201"/>
      <c r="N97" s="202"/>
      <c r="O97" s="201"/>
      <c r="P97" s="201"/>
      <c r="Q97" s="202"/>
      <c r="R97" s="67"/>
      <c r="S97" s="67"/>
    </row>
    <row r="98" ht="13.8" customHeight="1" hidden="1" spans="1:19" x14ac:dyDescent="0.25">
      <c r="A98" s="177"/>
      <c r="B98" s="114" t="s">
        <v>546</v>
      </c>
      <c r="C98" s="198">
        <f>SUM(D98:F98)</f>
        <v>0</v>
      </c>
      <c r="D98" s="199">
        <f>+SALDOS!B221</f>
      </c>
      <c r="E98" s="199">
        <v>0</v>
      </c>
      <c r="F98" s="200">
        <v>0</v>
      </c>
      <c r="G98" s="196"/>
      <c r="H98" s="67"/>
      <c r="I98" s="67"/>
      <c r="J98" s="67"/>
      <c r="K98" s="110"/>
      <c r="L98" s="67"/>
      <c r="M98" s="67"/>
      <c r="N98" s="67"/>
      <c r="O98" s="67"/>
      <c r="P98" s="67"/>
      <c r="Q98" s="67"/>
      <c r="R98" s="67"/>
      <c r="S98" s="67"/>
    </row>
    <row r="99" spans="1:19" x14ac:dyDescent="0.25">
      <c r="A99" s="177"/>
      <c r="B99" s="114" t="s">
        <v>547</v>
      </c>
      <c r="C99" s="198">
        <f>SUM(D99:F99)</f>
        <v>10864965.76</v>
      </c>
      <c r="D99" s="199">
        <v>0</v>
      </c>
      <c r="E99" s="199">
        <f>+SALDOS!B175-SALDOS!C175</f>
        <v>10864965.76</v>
      </c>
      <c r="F99" s="200">
        <v>0</v>
      </c>
      <c r="G99" s="196"/>
      <c r="H99" s="67"/>
      <c r="I99" s="181" t="s">
        <v>548</v>
      </c>
      <c r="J99" s="208"/>
      <c r="K99" s="209">
        <f>528.01-1.9</f>
        <v>526.11</v>
      </c>
      <c r="L99" s="209">
        <v>426.07</v>
      </c>
      <c r="M99" s="209">
        <v>59330.35</v>
      </c>
      <c r="N99" s="209"/>
      <c r="O99" s="208"/>
      <c r="P99" s="208"/>
      <c r="Q99" s="210"/>
      <c r="R99" s="67"/>
      <c r="S99" s="67"/>
    </row>
    <row r="100" hidden="1" spans="1:19" x14ac:dyDescent="0.25">
      <c r="A100" s="177"/>
      <c r="B100" s="114" t="s">
        <v>549</v>
      </c>
      <c r="C100" s="198">
        <f>SUM(D100:F100)</f>
        <v>0</v>
      </c>
      <c r="D100" s="199">
        <v>0</v>
      </c>
      <c r="E100" s="199">
        <f>+SALDOS!B189</f>
      </c>
      <c r="F100" s="200">
        <v>0</v>
      </c>
      <c r="G100" s="196"/>
      <c r="H100" s="67"/>
      <c r="I100" s="181" t="s">
        <v>550</v>
      </c>
      <c r="J100" s="208"/>
      <c r="K100" s="208"/>
      <c r="L100" s="208"/>
      <c r="M100" s="212">
        <f>+E92</f>
        <v>-1475516.71</v>
      </c>
      <c r="N100" s="209"/>
      <c r="O100" s="209">
        <f>+C100</f>
        <v>0</v>
      </c>
      <c r="P100" s="208"/>
      <c r="Q100" s="210"/>
      <c r="R100" s="67"/>
      <c r="S100" s="67"/>
    </row>
    <row r="101" hidden="1" spans="1:19" x14ac:dyDescent="0.25">
      <c r="A101" s="177"/>
      <c r="B101" s="114" t="s">
        <v>551</v>
      </c>
      <c r="C101" s="198">
        <f>SUM(D101:F101)</f>
        <v>0</v>
      </c>
      <c r="D101" s="199">
        <f>+SALDOS!B152</f>
        <v>0</v>
      </c>
      <c r="E101" s="199">
        <v>0</v>
      </c>
      <c r="F101" s="200">
        <v>0</v>
      </c>
      <c r="G101" s="196"/>
      <c r="H101" s="67"/>
      <c r="I101" s="201" t="s">
        <v>552</v>
      </c>
      <c r="J101" s="202">
        <v>240</v>
      </c>
      <c r="K101" s="202">
        <v>240</v>
      </c>
      <c r="L101" s="202"/>
      <c r="M101" s="201"/>
      <c r="N101" s="202"/>
      <c r="O101" s="201"/>
      <c r="P101" s="201"/>
      <c r="Q101" s="202"/>
      <c r="R101" s="67"/>
      <c r="S101" s="67"/>
    </row>
    <row r="102" hidden="1" spans="1:19" x14ac:dyDescent="0.25">
      <c r="A102" s="177"/>
      <c r="B102" s="114" t="s">
        <v>553</v>
      </c>
      <c r="C102" s="198">
        <f>SUM(D102:F102)</f>
        <v>0</v>
      </c>
      <c r="D102" s="199">
        <v>0</v>
      </c>
      <c r="E102" s="199">
        <f>+SALDOS!B218</f>
      </c>
      <c r="F102" s="200">
        <v>0</v>
      </c>
      <c r="G102" s="196"/>
      <c r="H102" s="67"/>
      <c r="I102" s="67"/>
      <c r="J102" s="110"/>
      <c r="K102" s="110"/>
      <c r="L102" s="110"/>
      <c r="M102" s="67"/>
      <c r="N102" s="110"/>
      <c r="O102" s="67"/>
      <c r="P102" s="67"/>
      <c r="Q102" s="110"/>
      <c r="R102" s="67"/>
      <c r="S102" s="67"/>
    </row>
    <row r="103" hidden="1" spans="1:19" x14ac:dyDescent="0.25">
      <c r="A103" s="177"/>
      <c r="B103" s="114" t="s">
        <v>554</v>
      </c>
      <c r="C103" s="198">
        <f>SUM(D103:F103)</f>
        <v>0</v>
      </c>
      <c r="D103" s="199">
        <f>+SALDOS!B173-SALDOS!C173</f>
        <v>0</v>
      </c>
      <c r="E103" s="199">
        <v>0</v>
      </c>
      <c r="F103" s="200">
        <v>0</v>
      </c>
      <c r="G103" s="196"/>
      <c r="H103" s="67"/>
      <c r="I103" s="67"/>
      <c r="J103" s="110"/>
      <c r="K103" s="110"/>
      <c r="L103" s="110"/>
      <c r="M103" s="67"/>
      <c r="N103" s="110"/>
      <c r="O103" s="67"/>
      <c r="P103" s="67"/>
      <c r="Q103" s="110"/>
      <c r="R103" s="67"/>
      <c r="S103" s="67"/>
    </row>
    <row r="104" hidden="1" spans="1:19" x14ac:dyDescent="0.25">
      <c r="A104" s="177"/>
      <c r="B104" s="114" t="s">
        <v>555</v>
      </c>
      <c r="C104" s="198">
        <f>SUM(D104:F104)</f>
        <v>0</v>
      </c>
      <c r="D104" s="199">
        <v>0</v>
      </c>
      <c r="E104" s="199">
        <f>+SALDOS!B200</f>
      </c>
      <c r="F104" s="200">
        <v>0</v>
      </c>
      <c r="G104" s="196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</row>
    <row r="105" spans="1:19" x14ac:dyDescent="0.25">
      <c r="A105" s="177"/>
      <c r="B105" s="114" t="s">
        <v>447</v>
      </c>
      <c r="C105" s="198">
        <f>SUM(D105:F105)</f>
        <v>27550003.8</v>
      </c>
      <c r="D105" s="199">
        <v>0</v>
      </c>
      <c r="E105" s="199">
        <f>+SALDOS!B139</f>
        <v>27550003.8</v>
      </c>
      <c r="F105" s="200">
        <v>0</v>
      </c>
      <c r="G105" s="196"/>
      <c r="H105" s="67"/>
      <c r="I105" s="201" t="s">
        <v>556</v>
      </c>
      <c r="J105" s="202">
        <f>+E105*27%</f>
        <v>7438501.026000001</v>
      </c>
      <c r="K105" s="202">
        <f>+E105*39%</f>
        <v>10744501.482</v>
      </c>
      <c r="L105" s="202">
        <f>+E105*34%</f>
        <v>9367001.292000001</v>
      </c>
      <c r="M105" s="201"/>
      <c r="N105" s="202"/>
      <c r="O105" s="201"/>
      <c r="P105" s="201"/>
      <c r="Q105" s="202"/>
      <c r="R105" s="67" t="s">
        <v>557</v>
      </c>
      <c r="S105" s="67"/>
    </row>
    <row r="106" hidden="1" spans="1:19" x14ac:dyDescent="0.25">
      <c r="A106" s="177"/>
      <c r="B106" s="114" t="s">
        <v>558</v>
      </c>
      <c r="C106" s="198">
        <f>SUM(D106:F106)</f>
        <v>0</v>
      </c>
      <c r="D106" s="199">
        <v>0</v>
      </c>
      <c r="E106" s="199">
        <f>+SALDOS!B219</f>
      </c>
      <c r="F106" s="200">
        <v>0</v>
      </c>
      <c r="G106" s="196"/>
      <c r="H106" s="67"/>
      <c r="I106" s="67"/>
      <c r="J106" s="110"/>
      <c r="K106" s="110"/>
      <c r="L106" s="110"/>
      <c r="M106" s="67"/>
      <c r="N106" s="110"/>
      <c r="O106" s="67"/>
      <c r="P106" s="67"/>
      <c r="Q106" s="110"/>
      <c r="R106" s="67"/>
      <c r="S106" s="67"/>
    </row>
    <row r="107" hidden="1" spans="1:19" x14ac:dyDescent="0.25">
      <c r="A107" s="177"/>
      <c r="B107" s="114" t="s">
        <v>559</v>
      </c>
      <c r="C107" s="198">
        <f>SUM(D107:F107)</f>
        <v>0</v>
      </c>
      <c r="D107" s="199">
        <f>-SALDOS!C170</f>
        <v>0</v>
      </c>
      <c r="E107" s="199">
        <v>0</v>
      </c>
      <c r="F107" s="200">
        <v>0</v>
      </c>
      <c r="G107" s="196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</row>
    <row r="108" hidden="1" spans="1:19" x14ac:dyDescent="0.25">
      <c r="A108" s="177"/>
      <c r="B108" s="114" t="s">
        <v>560</v>
      </c>
      <c r="C108" s="198">
        <f>SUM(D108:F108)</f>
        <v>0</v>
      </c>
      <c r="D108" s="199">
        <v>0</v>
      </c>
      <c r="E108" s="199">
        <f>+SALDOS!B231</f>
      </c>
      <c r="F108" s="200">
        <v>0</v>
      </c>
      <c r="G108" s="196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</row>
    <row r="109" hidden="1" spans="1:19" x14ac:dyDescent="0.25">
      <c r="A109" s="177"/>
      <c r="B109" s="114" t="s">
        <v>561</v>
      </c>
      <c r="C109" s="198">
        <f>SUM(D109:F109)</f>
        <v>0</v>
      </c>
      <c r="D109" s="199">
        <f>+SALDOS!B232</f>
      </c>
      <c r="E109" s="199">
        <v>0</v>
      </c>
      <c r="F109" s="200">
        <v>0</v>
      </c>
      <c r="G109" s="196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</row>
    <row r="110" hidden="1" spans="1:19" x14ac:dyDescent="0.25">
      <c r="A110" s="177"/>
      <c r="B110" s="114" t="s">
        <v>562</v>
      </c>
      <c r="C110" s="198">
        <f>SUM(D110:F110)</f>
        <v>0</v>
      </c>
      <c r="D110" s="199">
        <f>+SALDOS!B174</f>
      </c>
      <c r="E110" s="199">
        <v>0</v>
      </c>
      <c r="F110" s="200">
        <f>+SALDOS!B232</f>
      </c>
      <c r="G110" s="196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</row>
    <row r="111" hidden="1" spans="1:19" x14ac:dyDescent="0.25">
      <c r="A111" s="177"/>
      <c r="B111" s="114" t="s">
        <v>563</v>
      </c>
      <c r="C111" s="198">
        <f>SUM(D111:F111)</f>
        <v>0</v>
      </c>
      <c r="D111" s="199">
        <v>0</v>
      </c>
      <c r="E111" s="199">
        <v>0</v>
      </c>
      <c r="F111" s="200">
        <f>+SALDOS!B234</f>
      </c>
      <c r="G111" s="196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</row>
    <row r="112" spans="1:19" x14ac:dyDescent="0.25">
      <c r="A112" s="177"/>
      <c r="B112" s="114" t="s">
        <v>564</v>
      </c>
      <c r="C112" s="198">
        <f>SUM(D112:F112)</f>
        <v>9748761.68</v>
      </c>
      <c r="D112" s="199">
        <v>0</v>
      </c>
      <c r="E112" s="199">
        <f>+SALDOS!B211-SALDOS!C211</f>
        <v>9748761.68</v>
      </c>
      <c r="F112" s="200">
        <v>0</v>
      </c>
      <c r="G112" s="196"/>
      <c r="H112" s="67"/>
      <c r="I112" s="205" t="s">
        <v>565</v>
      </c>
      <c r="J112" s="202"/>
      <c r="K112" s="202"/>
      <c r="L112" s="202"/>
      <c r="M112" s="201"/>
      <c r="N112" s="202"/>
      <c r="O112" s="201"/>
      <c r="P112" s="202">
        <f>+E112</f>
        <v>9748761.68</v>
      </c>
      <c r="Q112" s="206"/>
      <c r="R112" s="67" t="s">
        <v>566</v>
      </c>
      <c r="S112" s="67"/>
    </row>
    <row r="113" ht="13.8" customHeight="1" spans="1:19" x14ac:dyDescent="0.25">
      <c r="A113" s="213"/>
      <c r="B113" s="214" t="str">
        <f>+EEPN!B18</f>
        <v>Total al 31/7/26</v>
      </c>
      <c r="C113" s="215">
        <f>SUM(C9:C112)</f>
        <v>102297320.33000001</v>
      </c>
      <c r="D113" s="215">
        <f>SUM(D11:D112)</f>
        <v>6217669.69</v>
      </c>
      <c r="E113" s="215">
        <f>SUM(E9:E112)</f>
        <v>94344997.22</v>
      </c>
      <c r="F113" s="216">
        <f>SUM(F11:F112)</f>
        <v>1734653.42</v>
      </c>
      <c r="G113" s="103" t="e">
        <f>SUM(#REF!)</f>
        <v>#REF!</v>
      </c>
      <c r="H113" s="67">
        <v>17137840.67</v>
      </c>
      <c r="I113" s="217">
        <f>SUM(J113:P113)-C113</f>
        <v>-68579638.88000001</v>
      </c>
      <c r="J113" s="218">
        <f>SUM(J11:J112)</f>
        <v>9214671.750850536</v>
      </c>
      <c r="K113" s="218">
        <f>SUM(K11:K112)</f>
        <v>11149926.25872758</v>
      </c>
      <c r="L113" s="218">
        <f>SUM(L11:L112)</f>
        <v>9431835.600421887</v>
      </c>
      <c r="M113" s="218">
        <f>SUM(M11:M112)</f>
        <v>-6435065.840000001</v>
      </c>
      <c r="N113" s="218">
        <f>SUM(N11:N112)</f>
        <v>0</v>
      </c>
      <c r="O113" s="218">
        <f>SUM(O11:O112)</f>
        <v>3180</v>
      </c>
      <c r="P113" s="218">
        <f>SUM(P11:P112)</f>
        <v>10353133.68</v>
      </c>
      <c r="Q113" s="218">
        <f>SUM(Q11:Q112)</f>
        <v>0</v>
      </c>
      <c r="R113" s="67"/>
      <c r="S113" s="67"/>
    </row>
    <row r="114" ht="13.8" customHeight="1" spans="1:19" x14ac:dyDescent="0.25">
      <c r="A114" s="101"/>
      <c r="B114" s="104" t="s">
        <v>567</v>
      </c>
      <c r="C114" s="219"/>
      <c r="D114" s="219">
        <v>0</v>
      </c>
      <c r="E114" s="106">
        <v>0</v>
      </c>
      <c r="F114" s="220">
        <v>0</v>
      </c>
      <c r="G114" s="99">
        <f>SUM(D114:F114)</f>
        <v>0</v>
      </c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</row>
    <row r="115" ht="13.8" customHeight="1" spans="1:19" x14ac:dyDescent="0.25">
      <c r="A115" s="67"/>
      <c r="B115" s="67"/>
      <c r="C115" s="111"/>
      <c r="D115" s="111"/>
      <c r="E115" s="111"/>
      <c r="F115" s="67"/>
      <c r="G115" s="111"/>
      <c r="H115" s="109">
        <f>+H113-C113</f>
        <v>-85159479.66000001</v>
      </c>
      <c r="I115" s="221" t="s">
        <v>568</v>
      </c>
      <c r="J115" s="221">
        <v>600</v>
      </c>
      <c r="K115" s="221">
        <v>200</v>
      </c>
      <c r="L115" s="221">
        <v>400</v>
      </c>
      <c r="M115" s="67"/>
      <c r="N115" s="67"/>
      <c r="O115" s="67"/>
      <c r="P115" s="67"/>
      <c r="Q115" s="67"/>
      <c r="R115" s="221" t="s">
        <v>569</v>
      </c>
      <c r="S115" s="67"/>
    </row>
    <row r="116" spans="1:19" x14ac:dyDescent="0.25">
      <c r="A116" s="67" t="s">
        <v>301</v>
      </c>
      <c r="B116" s="67"/>
      <c r="C116" s="67"/>
      <c r="D116" s="67"/>
      <c r="E116" s="67"/>
      <c r="F116" s="67"/>
      <c r="G116" s="67"/>
      <c r="H116" s="110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</row>
    <row r="117" spans="1:19" x14ac:dyDescent="0.25">
      <c r="A117" s="67" t="s">
        <v>302</v>
      </c>
      <c r="B117" s="67"/>
      <c r="C117" s="67"/>
      <c r="D117" s="67"/>
      <c r="E117" s="67"/>
      <c r="F117" s="109"/>
      <c r="G117" s="67"/>
      <c r="H117" s="67"/>
      <c r="I117" s="67" t="s">
        <v>570</v>
      </c>
      <c r="J117" s="110">
        <f>J113/J115</f>
        <v>15357.78625141756</v>
      </c>
      <c r="K117" s="110">
        <f>K113/K115</f>
        <v>55749.6312936379</v>
      </c>
      <c r="L117" s="110">
        <f>L113/L115</f>
        <v>23579.589001054715</v>
      </c>
      <c r="M117" s="67"/>
      <c r="N117" s="67"/>
      <c r="O117" s="67"/>
      <c r="P117" s="67"/>
      <c r="Q117" s="67"/>
      <c r="R117" s="67"/>
      <c r="S117" s="67"/>
    </row>
    <row r="118" spans="1:19" x14ac:dyDescent="0.25">
      <c r="A118" s="67"/>
      <c r="B118" s="67"/>
      <c r="C118" s="67"/>
      <c r="D118" s="67"/>
      <c r="E118" s="109"/>
      <c r="F118" s="109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</row>
    <row r="119" spans="1:19" x14ac:dyDescent="0.25">
      <c r="A119" s="67"/>
      <c r="B119" s="178" t="s">
        <v>446</v>
      </c>
      <c r="C119" s="67"/>
      <c r="D119" s="77"/>
      <c r="E119" s="109">
        <f>+D113+E113+F113</f>
        <v>102297320.33</v>
      </c>
      <c r="F119" s="109"/>
      <c r="G119" s="67"/>
      <c r="H119" s="109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</row>
    <row r="120" spans="1:19" x14ac:dyDescent="0.25">
      <c r="A120" s="67"/>
      <c r="B120" s="67"/>
      <c r="C120" s="67"/>
      <c r="D120" s="67"/>
      <c r="E120" s="67"/>
      <c r="F120" s="109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</row>
    <row r="121" spans="1:19" x14ac:dyDescent="0.25">
      <c r="A121" s="67"/>
      <c r="B121" s="67" t="s">
        <v>571</v>
      </c>
      <c r="C121" s="67"/>
      <c r="D121" s="110">
        <f>+C113</f>
        <v>102297320.33000001</v>
      </c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</row>
    <row r="122" spans="1:19" x14ac:dyDescent="0.25">
      <c r="A122" s="67"/>
      <c r="B122" s="67" t="s">
        <v>572</v>
      </c>
      <c r="C122" s="67"/>
      <c r="D122" s="110">
        <f>+'PRESUPUESTO GASTOS FILIAL'!$C$72</f>
        <v>3310746.8616666654</v>
      </c>
      <c r="E122" s="67"/>
      <c r="F122" s="109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</row>
    <row r="123" spans="1:19" x14ac:dyDescent="0.25">
      <c r="A123" s="67"/>
      <c r="B123" s="67" t="s">
        <v>573</v>
      </c>
      <c r="C123" s="77"/>
      <c r="D123" s="110">
        <f>+D121-D122</f>
        <v>98986573.46833335</v>
      </c>
      <c r="E123" s="67"/>
      <c r="F123" s="7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</row>
    <row r="124" spans="1:19" x14ac:dyDescent="0.25">
      <c r="A124" s="67"/>
      <c r="B124" s="67"/>
      <c r="C124" s="77"/>
      <c r="D124" s="110"/>
      <c r="E124" s="67"/>
      <c r="F124" s="7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</row>
    <row r="125" spans="1:19" x14ac:dyDescent="0.25">
      <c r="A125" s="67"/>
      <c r="B125" s="67" t="s">
        <v>574</v>
      </c>
      <c r="C125" s="222">
        <f>+Pasivo!E9</f>
        <v>91338826.08</v>
      </c>
      <c r="D125" s="110"/>
      <c r="E125" s="67"/>
      <c r="F125" s="7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</row>
    <row r="126" spans="1:19" x14ac:dyDescent="0.25">
      <c r="A126" s="67"/>
      <c r="B126" s="67"/>
      <c r="C126" s="110"/>
      <c r="D126" s="110">
        <f>+'PRESUPUESTO GASTOS FILIAL'!$C$85</f>
        <v>2583219.17</v>
      </c>
      <c r="E126" s="67" t="s">
        <v>575</v>
      </c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</row>
    <row r="127" spans="1:19" x14ac:dyDescent="0.25">
      <c r="A127" s="67"/>
      <c r="B127" s="67"/>
      <c r="C127" s="110"/>
      <c r="D127" s="110">
        <v>36787.6800000001</v>
      </c>
      <c r="E127" s="67" t="s">
        <v>576</v>
      </c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</row>
    <row r="128" spans="1:19" x14ac:dyDescent="0.25">
      <c r="A128" s="67"/>
      <c r="B128" s="67"/>
      <c r="C128" s="110"/>
      <c r="D128" s="110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</row>
    <row r="129" spans="1:19" x14ac:dyDescent="0.25">
      <c r="A129" s="67"/>
      <c r="B129" s="67"/>
      <c r="C129" s="110"/>
      <c r="D129" s="110">
        <f>+'PRESUPUESTO GASTOS FILIAL'!$C$86-66154.26</f>
        <v>78529.45</v>
      </c>
      <c r="E129" s="67" t="s">
        <v>577</v>
      </c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</row>
    <row r="130" spans="1:19" x14ac:dyDescent="0.25">
      <c r="A130" s="67"/>
      <c r="B130" s="67"/>
      <c r="C130" s="110"/>
      <c r="D130" s="110">
        <f>+'PRESUPUESTO GASTOS FILIAL'!$C$88</f>
        <v>89824.3</v>
      </c>
      <c r="E130" s="67" t="s">
        <v>578</v>
      </c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</row>
    <row r="131" spans="1:19" x14ac:dyDescent="0.25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</row>
    <row r="132" spans="1:19" x14ac:dyDescent="0.25">
      <c r="A132" s="67"/>
      <c r="B132" s="67"/>
      <c r="C132" s="67"/>
      <c r="D132" s="110">
        <f>+C31+C105-'PRESUPUESTO GASTOS FILIAL'!$D$64-'PRESUPUESTO GASTOS FILIAL'!$D$63-'PRESUPUESTO GASTOS FILIAL'!$D$62</f>
        <v>36354509.3</v>
      </c>
      <c r="E132" s="67" t="s">
        <v>579</v>
      </c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</row>
    <row r="133" spans="1:19" x14ac:dyDescent="0.25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</row>
    <row r="134" spans="1:19" x14ac:dyDescent="0.25">
      <c r="A134" s="67"/>
      <c r="B134" s="67"/>
      <c r="C134" s="67"/>
      <c r="D134" s="110">
        <f>SUM(D123:D132)</f>
        <v>138129443.36833334</v>
      </c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</row>
  </sheetData>
  <mergeCells count="8">
    <mergeCell ref="J7:J8"/>
    <mergeCell ref="K7:K8"/>
    <mergeCell ref="L7:L8"/>
    <mergeCell ref="M7:M8"/>
    <mergeCell ref="N7:N8"/>
    <mergeCell ref="O7:O8"/>
    <mergeCell ref="P7:P8"/>
    <mergeCell ref="Q7:Q8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SALDOS</vt:lpstr>
      <vt:lpstr>EESP</vt:lpstr>
      <vt:lpstr>EERR</vt:lpstr>
      <vt:lpstr>EEPN</vt:lpstr>
      <vt:lpstr>Activo</vt:lpstr>
      <vt:lpstr>Pasivo</vt:lpstr>
      <vt:lpstr>Anexo I</vt:lpstr>
      <vt:lpstr>Anexo II</vt:lpstr>
    </vt:vector>
  </TitlesOfParts>
  <Company>Estudio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Estudio</dc:creator>
  <cp:lastModifiedBy>Roman Martin Justo</cp:lastModifiedBy>
  <cp:lastPrinted>2019-02-21T19:57:42Z</cp:lastPrinted>
  <dcterms:created xsi:type="dcterms:W3CDTF">2006-02-16T20:30:30Z</dcterms:created>
  <dcterms:modified xsi:type="dcterms:W3CDTF">2026-08-14T18:09:02Z</dcterms:modified>
</cp:coreProperties>
</file>